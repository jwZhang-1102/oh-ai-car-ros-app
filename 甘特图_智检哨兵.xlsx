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4750" windowHeight="12790"/>
  </bookViews>
  <sheets>
    <sheet name="GanttChart" sheetId="1" r:id="rId1"/>
    <sheet name="Help" sheetId="2" r:id="rId2"/>
  </sheets>
  <definedNames>
    <definedName name="prevWBS" localSheetId="0">GanttChart!$A1048576</definedName>
    <definedName name="valuevx">42.314159</definedName>
    <definedName name="vertex42_copyright" hidden="1">"© 2006-2018 Vertex42 LLC"</definedName>
    <definedName name="vertex42_id" hidden="1">"gantt-chart_L2.xlsx"</definedName>
    <definedName name="vertex42_title" hidden="1">"Gantt Chart Template"</definedName>
    <definedName name="_xlnm.Print_Titles" localSheetId="0">GanttChart!$3:$6</definedName>
    <definedName name="_xlnm.Print_Area" localSheetId="0">GanttChart!$A$1:$W$34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<sst xmlns="http://schemas.openxmlformats.org/spreadsheetml/2006/main" count="159" uniqueCount="141">
  <si>
    <t>智检哨兵：自主巡防与多模式人机协同</t>
  </si>
  <si>
    <t>Gantt Chart Template © 2006-2018 by Vertex42.com</t>
  </si>
  <si>
    <t>项目开始日期</t>
  </si>
  <si>
    <t>显示周</t>
  </si>
  <si>
    <t>项目结束日期</t>
  </si>
  <si>
    <t>WBS</t>
  </si>
  <si>
    <t>任务</t>
  </si>
  <si>
    <t>负责人</t>
  </si>
  <si>
    <t>开始日期</t>
  </si>
  <si>
    <t>结束日期</t>
  </si>
  <si>
    <t>周期  天数</t>
  </si>
  <si>
    <t>%完成</t>
  </si>
  <si>
    <t>工作  天数</t>
  </si>
  <si>
    <t>1</t>
  </si>
  <si>
    <t>[环境与平台基础]</t>
  </si>
  <si>
    <t>1.1</t>
  </si>
  <si>
    <t>熟悉 Jetson / ros/run / Docker</t>
  </si>
  <si>
    <t>全体</t>
  </si>
  <si>
    <t>1.2</t>
  </si>
  <si>
    <t>手册 3.6–3.11 基础能力联调</t>
  </si>
  <si>
    <t>2</t>
  </si>
  <si>
    <t>[鸿蒙 App]</t>
  </si>
  <si>
    <t>2.1</t>
  </si>
  <si>
    <t>TCP 控车 + 视频 6500</t>
  </si>
  <si>
    <t>王才睿+郑浩然</t>
  </si>
  <si>
    <t>2.2</t>
  </si>
  <si>
    <t>巡检模式：6700 事件/截图</t>
  </si>
  <si>
    <t>2.3</t>
  </si>
  <si>
    <t>驾驶模式（横屏全屏）</t>
  </si>
  <si>
    <t>3</t>
  </si>
  <si>
    <t>[YOLO 智检巡检]</t>
  </si>
  <si>
    <t>3.1</t>
  </si>
  <si>
    <t>YOLOv5 目标检测联调</t>
  </si>
  <si>
    <t>李昕哲</t>
  </si>
  <si>
    <t>3.2</t>
  </si>
  <si>
    <t>告警事件截图与 events.jsonl</t>
  </si>
  <si>
    <t>曹棪</t>
  </si>
  <si>
    <t>3.3</t>
  </si>
  <si>
    <t>patrol_server HTTP 6700</t>
  </si>
  <si>
    <t>3.4</t>
  </si>
  <si>
    <t>后台巡检 start_patrol_host --bg</t>
  </si>
  <si>
    <t>张经纬</t>
  </si>
  <si>
    <t>4</t>
  </si>
  <si>
    <t>[导航与并行]</t>
  </si>
  <si>
    <t>4.1</t>
  </si>
  <si>
    <t>SLAM/地图与 n1n2n3 导航</t>
  </si>
  <si>
    <t>4.2</t>
  </si>
  <si>
    <t>导航与巡检并行联调</t>
  </si>
  <si>
    <t>4.3</t>
  </si>
  <si>
    <t>瓶子告警短停与续航到点</t>
  </si>
  <si>
    <t>5</t>
  </si>
  <si>
    <t>[多模式控车与互动]</t>
  </si>
  <si>
    <t>5.1</t>
  </si>
  <si>
    <t>G29 方向盘控车</t>
  </si>
  <si>
    <t>5.2</t>
  </si>
  <si>
    <t>手势控车联调</t>
  </si>
  <si>
    <t>5.3</t>
  </si>
  <si>
    <t>音乐伴舞 music.py</t>
  </si>
  <si>
    <t>6</t>
  </si>
  <si>
    <t>[交付与答辩]</t>
  </si>
  <si>
    <t>6.1</t>
  </si>
  <si>
    <t>双车控制与限制说明</t>
  </si>
  <si>
    <t>刘宗杰</t>
  </si>
  <si>
    <t>6.2</t>
  </si>
  <si>
    <t>答辩 PPT / 操作手册 / 彩排</t>
  </si>
  <si>
    <t>6.3</t>
  </si>
  <si>
    <t>演示视频拍摄与剪辑</t>
  </si>
  <si>
    <t>Help</t>
  </si>
  <si>
    <t>https://www.vertex42.com/ExcelTemplates/excel-gantt-chart.html</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</si>
  <si>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</si>
  <si>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</si>
  <si>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Be sure to read the Getting Started Tips below. Watching the video demos for Gantt Chart Template Pro may also help you see how to use the spreadsheet.</t>
  </si>
  <si>
    <t>Watch Demo Videos of the Pro Version on Vertex42.com</t>
  </si>
  <si>
    <t>Please read the license agreement in the TermsOfUse worksheet to learn how you may or may not use and share this spreadsheet.</t>
  </si>
  <si>
    <t>Getting Started Tips</t>
  </si>
  <si>
    <t>• [Bracketed Text] is meant to be edited, like the project title and task descriptions.</t>
  </si>
  <si>
    <t>• Some of the labels include cell comments to provide extra information.</t>
  </si>
  <si>
    <t>• To adjust the range of dates shown in the Gantt chart, change the Display Week number.</t>
  </si>
  <si>
    <t>• The Project Start Date is used to define the first week shown in the gantt chart.</t>
  </si>
  <si>
    <t>• For each task, enter the Start Date and the duration of the task in Days. The End Date and Work Days columns are calculated using formulas.</t>
  </si>
  <si>
    <t>• If you see "#####" in a cell, widen the column to display the cell contents.</t>
  </si>
  <si>
    <t>• Backup your file regularly to avoid losing data! Excel files get corrupted occasionally.</t>
  </si>
  <si>
    <t>Inserting New Tasks (Rows)</t>
  </si>
  <si>
    <t>When inserting and deleting tasks, you need to insert and delete entire rows. Some columns contain formulas (such as the End Date and the Work Days columns), so these formulas need to copied to the newly inserted rows.</t>
  </si>
  <si>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</si>
  <si>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</si>
  <si>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</si>
  <si>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</si>
  <si>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</si>
  <si>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</si>
  <si>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</si>
  <si>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</si>
  <si>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Using the Template Rows and Choosing a WBS Level</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</si>
  <si>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</si>
  <si>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</si>
  <si>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</si>
  <si>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</si>
  <si>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</si>
  <si>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Creating Task Dependencies</t>
  </si>
  <si>
    <t>You can enter the Start date manually, or define task dependencies using a formula. Below are some common options for defining the Start date:</t>
  </si>
  <si>
    <t>A.</t>
  </si>
  <si>
    <t>Enter the date manually (e.g. 1/3/2015)</t>
  </si>
  <si>
    <t>B.</t>
  </si>
  <si>
    <t>Reference the Project Start Date (e.g. =$E$4 )</t>
  </si>
  <si>
    <t>C.</t>
  </si>
  <si>
    <t>Set the Start date to the next Work Day after another task's End date.</t>
  </si>
  <si>
    <t>• Use the formula =WORKDAY(enddate,1) where enddate is the reference to the End date of a predecessor task.</t>
  </si>
  <si>
    <t>• For multiple predecessors, the formula would be =MAX(WORKDAY(enddate1,1),WORKDAY(enddate2,1))</t>
  </si>
  <si>
    <t>D.</t>
  </si>
  <si>
    <t>Set the Start date to the next Calendar Day after another task's End date.</t>
  </si>
  <si>
    <t>• This formula is very simple: =enddate+1</t>
  </si>
  <si>
    <t>• For multiple predecessors, the formula would be =MAX(enddate1,enddate2,enddate3)+1</t>
  </si>
  <si>
    <t>E.</t>
  </si>
  <si>
    <t>Set the Start date to a number of days before or after another date.</t>
  </si>
  <si>
    <t>• This formula is just like the one in C or D, except that in place of the "1" you enter the number of days, such as =WORKDAY(enddate,5) or =WORKDAY(startdate,-5)</t>
  </si>
  <si>
    <t>F.</t>
  </si>
  <si>
    <t>Use a lookup formula and the Predecessor column to define the start date.</t>
  </si>
  <si>
    <t>[The formulas for using this method are built into Gantt Chart Template Pro]</t>
  </si>
  <si>
    <t>Changing the Color of the Bars in the Gantt Chart</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</si>
  <si>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</si>
  <si>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t>FAQs</t>
  </si>
  <si>
    <t>Q:</t>
  </si>
  <si>
    <t>How do I enter the Work Days instead of Calendar Days?</t>
  </si>
  <si>
    <t>Entering work days instead of calendar days is a feature of the Pro version. There is nothing in the free version preventing you from entering your own formulas, though.</t>
  </si>
  <si>
    <t>How do I calculate Calendar Days after entering the Start and End Dates?</t>
  </si>
  <si>
    <t>You can calculate the duration in calendar days (including both start and end dates) using the formula =enddate-startdate+1</t>
  </si>
  <si>
    <t>How do I change the Print Settings? (Excel 2010, 2013)</t>
  </si>
  <si>
    <t>Select the entire range of cells you want to print and go to File &gt; Print Area &gt; Set Print Area. Then go to File &gt; Page Setup or File &gt; Print Preview and adjust the Scaling, Margins, and Page Orientation as desired.</t>
  </si>
  <si>
    <t>How do I increase the range of dates displayed in the Gantt chart?</t>
  </si>
  <si>
    <t>You will need to add columns to the right of the Gantt Chart via copy/paste. Copy and paste the columns in groups of 7. Afterwards, you will also probably need to update the print area.</t>
  </si>
  <si>
    <t>How do I create a summary row that shows the MIN and MAX dates for all sub-tasks?</t>
  </si>
  <si>
    <t>In the Start column, use the formula =MIN(range_of_start_dates)</t>
  </si>
  <si>
    <t>In the End column, use the formula =MAX(range_of_end_dates)</t>
  </si>
  <si>
    <t>In the Days column, use the formula =end_date-start_date+1</t>
  </si>
  <si>
    <t>How do I calculate the %Complete for an entire category of tasks?</t>
  </si>
  <si>
    <t>The %Complete for a group of tasks can be calculated from its sub tasks using the formula below, where "workdays" is a reference to the range of work day values and "complete" is a reference to the %complete for each of the subtasks.</t>
  </si>
  <si>
    <t>=SUMPRODUCT(workdays,complete)/SUM(workdays)</t>
  </si>
  <si>
    <t>Example: Let's say you have 3 sub tasks that are 10 days, 12 days, and 14 days long, respectively. If the first subtask is 50% complete and the others are 25% complete, you could calculate the overall percent complete for the group as: =(10*50%+12*25%+14*25%)/(10+12+14).</t>
  </si>
  <si>
    <t>I've messed up the chart area somehow. How do I fix it?</t>
  </si>
  <si>
    <t>Find a row that works, then copy the cells that make up the gantt chart area from that row into the row that is messed up.</t>
  </si>
  <si>
    <t>© 2006-2018 Vertex42 LLC</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</si>
</sst>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mm:ss"/>
    <numFmt numFmtId="177" formatCode="d"/>
    <numFmt numFmtId="178" formatCode="ddd\ m/dd/yy"/>
    <numFmt numFmtId="179" formatCode="yyyy\-mm\-dd"/>
    <numFmt numFmtId="180" formatCode="yyyy/m/d\ aaaa"/>
  </numFmts>
  <fonts count="83">
    <font>
      <sz val="10"/>
      <name val="Arial"/>
      <charset val="134"/>
    </font>
    <font>
      <sz val="18"/>
      <color theme="4" tint="-0.249977111117893"/>
      <name val="Arial"/>
      <charset val="134"/>
    </font>
    <font>
      <sz val="18"/>
      <color theme="3"/>
      <name val="Arial"/>
      <charset val="134"/>
    </font>
    <font>
      <u/>
      <sz val="11"/>
      <color indexed="12"/>
      <name val="Arial"/>
      <charset val="134"/>
    </font>
    <font>
      <sz val="8"/>
      <name val="Arial"/>
      <charset val="134"/>
    </font>
    <font>
      <sz val="14"/>
      <color theme="4" tint="-0.249977111117893"/>
      <name val="Arial"/>
      <charset val="134"/>
    </font>
    <font>
      <b/>
      <sz val="12"/>
      <color theme="4" tint="-0.249977111117893"/>
      <name val="Arial"/>
      <charset val="134"/>
    </font>
    <font>
      <sz val="11"/>
      <name val="Arial"/>
      <charset val="134"/>
    </font>
    <font>
      <sz val="14"/>
      <name val="Arial"/>
      <charset val="134"/>
    </font>
    <font>
      <sz val="11"/>
      <color rgb="FFFF0000"/>
      <name val="Arial"/>
      <charset val="134"/>
    </font>
    <font>
      <b/>
      <sz val="10"/>
      <name val="Arial"/>
      <charset val="134"/>
    </font>
    <font>
      <b/>
      <sz val="11"/>
      <color theme="4" tint="-0.249977111117893"/>
      <name val="Arial"/>
      <charset val="134"/>
    </font>
    <font>
      <sz val="11"/>
      <color rgb="FF000000"/>
      <name val="Arial"/>
      <charset val="134"/>
    </font>
    <font>
      <sz val="11"/>
      <color theme="4" tint="-0.249977111117893"/>
      <name val="Arial"/>
      <charset val="134"/>
    </font>
    <font>
      <b/>
      <sz val="11"/>
      <name val="Arial"/>
      <charset val="134"/>
    </font>
    <font>
      <b/>
      <sz val="10"/>
      <color theme="0"/>
      <name val="黑体"/>
      <charset val="134"/>
      <scheme val="minor"/>
    </font>
    <font>
      <sz val="12"/>
      <name val="黑体"/>
      <charset val="134"/>
      <scheme val="minor"/>
    </font>
    <font>
      <sz val="12"/>
      <color theme="4" tint="-0.249977111117893"/>
      <name val="黑体"/>
      <charset val="134"/>
      <scheme val="minor"/>
    </font>
    <font>
      <b/>
      <sz val="10"/>
      <color theme="4" tint="-0.249977111117893"/>
      <name val="黑体"/>
      <charset val="134"/>
      <scheme val="minor"/>
    </font>
    <font>
      <b/>
      <sz val="10"/>
      <color theme="4"/>
      <name val="黑体"/>
      <charset val="134"/>
      <scheme val="minor"/>
    </font>
    <font>
      <sz val="8"/>
      <color theme="0"/>
      <name val="黑体"/>
      <charset val="134"/>
      <scheme val="minor"/>
    </font>
    <font>
      <sz val="9"/>
      <name val="黑体"/>
      <charset val="134"/>
      <scheme val="minor"/>
    </font>
    <font>
      <sz val="9"/>
      <name val="宋体"/>
      <charset val="134"/>
    </font>
    <font>
      <sz val="8"/>
      <name val="黑体"/>
      <charset val="134"/>
      <scheme val="minor"/>
    </font>
    <font>
      <sz val="10"/>
      <name val="黑体"/>
      <charset val="134"/>
      <scheme val="minor"/>
    </font>
    <font>
      <sz val="8"/>
      <name val="黑体"/>
      <charset val="134"/>
    </font>
    <font>
      <b/>
      <sz val="22"/>
      <color rgb="FF003873"/>
      <name val="黑体"/>
      <charset val="134"/>
    </font>
    <font>
      <b/>
      <sz val="14"/>
      <color theme="0"/>
      <name val="黑体"/>
      <charset val="134"/>
      <scheme val="minor"/>
    </font>
    <font>
      <b/>
      <i/>
      <sz val="8"/>
      <color theme="0"/>
      <name val="黑体"/>
      <charset val="134"/>
      <scheme val="minor"/>
    </font>
    <font>
      <i/>
      <sz val="10"/>
      <color theme="0"/>
      <name val="Arial"/>
      <charset val="134"/>
    </font>
    <font>
      <sz val="8"/>
      <color rgb="FF003873"/>
      <name val="黑体"/>
      <charset val="134"/>
    </font>
    <font>
      <b/>
      <sz val="14"/>
      <color rgb="FF003873"/>
      <name val="黑体"/>
      <charset val="134"/>
      <scheme val="minor"/>
    </font>
    <font>
      <sz val="12"/>
      <color rgb="FF003873"/>
      <name val="黑体"/>
      <charset val="134"/>
      <scheme val="minor"/>
    </font>
    <font>
      <sz val="11"/>
      <color rgb="FF003873"/>
      <name val="汉仪旗黑-60S"/>
      <charset val="134"/>
    </font>
    <font>
      <sz val="12"/>
      <color rgb="FF003873"/>
      <name val="汉仪旗黑-60S"/>
      <charset val="134"/>
    </font>
    <font>
      <sz val="10"/>
      <color rgb="FF003873"/>
      <name val="汉仪旗黑-60S"/>
      <charset val="134"/>
    </font>
    <font>
      <sz val="11"/>
      <color rgb="FF003873"/>
      <name val="宋体"/>
      <charset val="134"/>
    </font>
    <font>
      <sz val="10"/>
      <color rgb="FF003873"/>
      <name val="黑体"/>
      <charset val="134"/>
      <scheme val="minor"/>
    </font>
    <font>
      <sz val="9"/>
      <color rgb="FF003873"/>
      <name val="黑体"/>
      <charset val="134"/>
      <scheme val="minor"/>
    </font>
    <font>
      <b/>
      <sz val="8"/>
      <color rgb="FF003873"/>
      <name val="黑体"/>
      <charset val="134"/>
    </font>
    <font>
      <b/>
      <sz val="10"/>
      <color rgb="FF003873"/>
      <name val="汉仪旗黑-60S"/>
      <charset val="134"/>
    </font>
    <font>
      <b/>
      <sz val="10"/>
      <color rgb="FF003873"/>
      <name val="黑体"/>
      <charset val="134"/>
      <scheme val="minor"/>
    </font>
    <font>
      <sz val="9"/>
      <color rgb="FF003873"/>
      <name val="汉仪旗黑-60S"/>
      <charset val="134"/>
    </font>
    <font>
      <sz val="9"/>
      <color rgb="FF003873"/>
      <name val="Microsoft YaHei UI"/>
      <charset val="134"/>
    </font>
    <font>
      <b/>
      <sz val="8"/>
      <color theme="1" tint="0.349986266670736"/>
      <name val="宋体"/>
      <charset val="134"/>
    </font>
    <font>
      <b/>
      <sz val="11"/>
      <name val="宋体"/>
      <charset val="134"/>
    </font>
    <font>
      <sz val="9"/>
      <color theme="1" tint="0.249977111117893"/>
      <name val="宋体"/>
      <charset val="134"/>
    </font>
    <font>
      <sz val="14"/>
      <name val="黑体"/>
      <charset val="134"/>
      <scheme val="minor"/>
    </font>
    <font>
      <sz val="9"/>
      <color rgb="FF000000"/>
      <name val="宋体"/>
      <charset val="134"/>
    </font>
    <font>
      <sz val="14"/>
      <color rgb="FF000000"/>
      <name val="黑体"/>
      <charset val="134"/>
      <scheme val="minor"/>
    </font>
    <font>
      <sz val="9"/>
      <color theme="0" tint="-0.499984740745262"/>
      <name val="宋体"/>
      <charset val="134"/>
    </font>
    <font>
      <sz val="8"/>
      <name val="宋体"/>
      <charset val="134"/>
    </font>
    <font>
      <i/>
      <sz val="11"/>
      <name val="宋体"/>
      <charset val="134"/>
    </font>
    <font>
      <i/>
      <sz val="9"/>
      <name val="宋体"/>
      <charset val="134"/>
    </font>
    <font>
      <sz val="14"/>
      <name val="宋体"/>
      <charset val="134"/>
    </font>
    <font>
      <i/>
      <sz val="9"/>
      <name val="黑体"/>
      <charset val="134"/>
      <scheme val="minor"/>
    </font>
    <font>
      <sz val="9"/>
      <color theme="1" tint="0.249977111117893"/>
      <name val="黑体"/>
      <charset val="134"/>
      <scheme val="minor"/>
    </font>
    <font>
      <b/>
      <sz val="8"/>
      <color theme="0"/>
      <name val="黑体"/>
      <charset val="134"/>
    </font>
    <font>
      <b/>
      <sz val="8"/>
      <color theme="0"/>
      <name val="黑体"/>
      <charset val="134"/>
      <scheme val="minor"/>
    </font>
    <font>
      <sz val="8"/>
      <color rgb="FF000000"/>
      <name val="黑体"/>
      <charset val="134"/>
    </font>
    <font>
      <b/>
      <sz val="8"/>
      <color theme="1" tint="0.349986266670736"/>
      <name val="黑体"/>
      <charset val="134"/>
    </font>
    <font>
      <sz val="9"/>
      <name val="汉仪旗黑-60S"/>
      <charset val="134"/>
    </font>
    <font>
      <sz val="9"/>
      <color rgb="FF000000"/>
      <name val="黑体"/>
      <charset val="134"/>
      <scheme val="minor"/>
    </font>
    <font>
      <sz val="11"/>
      <color theme="1"/>
      <name val="黑体"/>
      <charset val="134"/>
      <scheme val="minor"/>
    </font>
    <font>
      <u/>
      <sz val="10"/>
      <color indexed="12"/>
      <name val="Arial"/>
      <charset val="134"/>
    </font>
    <font>
      <u/>
      <sz val="11"/>
      <color rgb="FF800080"/>
      <name val="黑体"/>
      <charset val="0"/>
      <scheme val="minor"/>
    </font>
    <font>
      <sz val="11"/>
      <color indexed="10"/>
      <name val="Calibri"/>
      <charset val="134"/>
    </font>
    <font>
      <b/>
      <sz val="18"/>
      <color indexed="18"/>
      <name val="Cambria"/>
      <charset val="134"/>
    </font>
    <font>
      <i/>
      <sz val="11"/>
      <color indexed="23"/>
      <name val="Calibri"/>
      <charset val="134"/>
    </font>
    <font>
      <b/>
      <sz val="15"/>
      <color indexed="18"/>
      <name val="Calibri"/>
      <charset val="134"/>
    </font>
    <font>
      <b/>
      <sz val="13"/>
      <color indexed="18"/>
      <name val="Calibri"/>
      <charset val="134"/>
    </font>
    <font>
      <b/>
      <sz val="11"/>
      <color indexed="18"/>
      <name val="Calibri"/>
      <charset val="134"/>
    </font>
    <font>
      <sz val="11"/>
      <color indexed="53"/>
      <name val="Calibri"/>
      <charset val="134"/>
    </font>
    <font>
      <b/>
      <sz val="11"/>
      <color indexed="63"/>
      <name val="Calibri"/>
      <charset val="134"/>
    </font>
    <font>
      <b/>
      <sz val="11"/>
      <color indexed="50"/>
      <name val="Calibri"/>
      <charset val="134"/>
    </font>
    <font>
      <b/>
      <sz val="11"/>
      <color indexed="9"/>
      <name val="Calibri"/>
      <charset val="134"/>
    </font>
    <font>
      <sz val="11"/>
      <color indexed="50"/>
      <name val="Calibri"/>
      <charset val="134"/>
    </font>
    <font>
      <b/>
      <sz val="11"/>
      <color indexed="8"/>
      <name val="Calibri"/>
      <charset val="134"/>
    </font>
    <font>
      <sz val="11"/>
      <color indexed="17"/>
      <name val="Calibri"/>
      <charset val="134"/>
    </font>
    <font>
      <sz val="11"/>
      <color indexed="36"/>
      <name val="Calibri"/>
      <charset val="134"/>
    </font>
    <font>
      <sz val="11"/>
      <color indexed="59"/>
      <name val="Calibri"/>
      <charset val="134"/>
    </font>
    <font>
      <sz val="11"/>
      <color indexed="9"/>
      <name val="Calibri"/>
      <charset val="134"/>
    </font>
    <font>
      <sz val="11"/>
      <color indexed="8"/>
      <name val="Calibri"/>
      <charset val="134"/>
    </font>
  </fonts>
  <fills count="23">
    <fill>
      <patternFill patternType="none"/>
    </fill>
    <fill>
      <patternFill patternType="gray125"/>
    </fill>
    <fill>
      <patternFill patternType="solid">
        <fgColor rgb="FFF70000"/>
        <bgColor indexed="64"/>
      </patternFill>
    </fill>
    <fill>
      <patternFill patternType="solid">
        <fgColor rgb="FFE7EFF7"/>
        <bgColor indexed="64"/>
      </patternFill>
    </fill>
    <fill>
      <patternFill patternType="solid">
        <fgColor rgb="FFCEDBE7"/>
        <bgColor indexed="64"/>
      </patternFill>
    </fill>
    <fill>
      <patternFill patternType="solid">
        <fgColor indexed="26"/>
        <bgColor indexed="64"/>
      </patternFill>
    </fill>
    <fill>
      <patternFill patternType="solid">
        <fgColor indexed="29"/>
        <bgColor indexed="64"/>
      </patternFill>
    </fill>
    <fill>
      <patternFill patternType="solid">
        <fgColor indexed="22"/>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0"/>
        <bgColor indexed="64"/>
      </patternFill>
    </fill>
    <fill>
      <patternFill patternType="solid">
        <fgColor indexed="47"/>
        <bgColor indexed="64"/>
      </patternFill>
    </fill>
    <fill>
      <patternFill patternType="solid">
        <fgColor indexed="51"/>
        <bgColor indexed="64"/>
      </patternFill>
    </fill>
    <fill>
      <patternFill patternType="solid">
        <fgColor indexed="52"/>
        <bgColor indexed="64"/>
      </patternFill>
    </fill>
    <fill>
      <patternFill patternType="solid">
        <fgColor indexed="14"/>
        <bgColor indexed="64"/>
      </patternFill>
    </fill>
    <fill>
      <patternFill patternType="solid">
        <fgColor indexed="46"/>
        <bgColor indexed="64"/>
      </patternFill>
    </fill>
    <fill>
      <patternFill patternType="solid">
        <fgColor indexed="61"/>
        <bgColor indexed="64"/>
      </patternFill>
    </fill>
    <fill>
      <patternFill patternType="solid">
        <fgColor indexed="20"/>
        <bgColor indexed="64"/>
      </patternFill>
    </fill>
    <fill>
      <patternFill patternType="solid">
        <fgColor indexed="23"/>
        <bgColor indexed="64"/>
      </patternFill>
    </fill>
    <fill>
      <patternFill patternType="solid">
        <fgColor indexed="15"/>
        <bgColor indexed="64"/>
      </patternFill>
    </fill>
    <fill>
      <patternFill patternType="solid">
        <fgColor indexed="41"/>
        <bgColor indexed="64"/>
      </patternFill>
    </fill>
    <fill>
      <patternFill patternType="solid">
        <fgColor indexed="10"/>
        <bgColor indexed="64"/>
      </patternFill>
    </fill>
  </fills>
  <borders count="26">
    <border>
      <left/>
      <right/>
      <top/>
      <bottom/>
      <diagonal/>
    </border>
    <border>
      <left/>
      <right/>
      <top/>
      <bottom style="thin">
        <color rgb="FF003873"/>
      </bottom>
      <diagonal/>
    </border>
    <border>
      <left/>
      <right/>
      <top/>
      <bottom style="thin">
        <color indexed="22"/>
      </bottom>
      <diagonal/>
    </border>
    <border>
      <left/>
      <right/>
      <top style="thin">
        <color indexed="22"/>
      </top>
      <bottom style="thin">
        <color indexed="22"/>
      </bottom>
      <diagonal/>
    </border>
    <border>
      <left/>
      <right/>
      <top/>
      <bottom style="thin">
        <color rgb="FFCEDBE7"/>
      </bottom>
      <diagonal/>
    </border>
    <border>
      <left style="thin">
        <color rgb="FFCEDBE7"/>
      </left>
      <right style="thin">
        <color theme="0" tint="-0.349986266670736"/>
      </right>
      <top style="thin">
        <color rgb="FFCEDBE7"/>
      </top>
      <bottom/>
      <diagonal/>
    </border>
    <border>
      <left/>
      <right/>
      <top style="thin">
        <color rgb="FFCEDBE7"/>
      </top>
      <bottom style="thin">
        <color rgb="FFCEDBE7"/>
      </bottom>
      <diagonal/>
    </border>
    <border>
      <left style="thin">
        <color rgb="FFCEDBE7"/>
      </left>
      <right style="thin">
        <color theme="0" tint="-0.349986266670736"/>
      </right>
      <top/>
      <bottom/>
      <diagonal/>
    </border>
    <border>
      <left style="thin">
        <color rgb="FFCEDBE7"/>
      </left>
      <right/>
      <top/>
      <bottom/>
      <diagonal/>
    </border>
    <border>
      <left style="thin">
        <color rgb="FFCEDBE7"/>
      </left>
      <right style="thin">
        <color rgb="FFCEDBE7"/>
      </right>
      <top/>
      <bottom/>
      <diagonal/>
    </border>
    <border>
      <left/>
      <right style="thin">
        <color rgb="FFCEDBE7"/>
      </right>
      <top/>
      <bottom/>
      <diagonal/>
    </border>
    <border>
      <left style="thin">
        <color rgb="FFCEDBE7"/>
      </left>
      <right/>
      <top/>
      <bottom style="thin">
        <color rgb="FF003873"/>
      </bottom>
      <diagonal/>
    </border>
    <border>
      <left style="thin">
        <color rgb="FFCEDBE7"/>
      </left>
      <right style="thin">
        <color rgb="FFCEDBE7"/>
      </right>
      <top/>
      <bottom style="thin">
        <color rgb="FF003873"/>
      </bottom>
      <diagonal/>
    </border>
    <border>
      <left/>
      <right style="thin">
        <color rgb="FFCEDBE7"/>
      </right>
      <top/>
      <bottom style="thin">
        <color rgb="FF003873"/>
      </bottom>
      <diagonal/>
    </border>
    <border>
      <left/>
      <right/>
      <top style="thin">
        <color rgb="FFEFEFEF"/>
      </top>
      <bottom style="thin">
        <color rgb="FFEFEFEF"/>
      </bottom>
      <diagonal/>
    </border>
    <border>
      <left/>
      <right/>
      <top style="thin">
        <color auto="1"/>
      </top>
      <bottom style="thin">
        <color auto="1"/>
      </bottom>
      <diagonal/>
    </border>
    <border>
      <left/>
      <right/>
      <top style="thin">
        <color indexed="22"/>
      </top>
      <bottom style="thin">
        <color auto="1"/>
      </bottom>
      <diagonal/>
    </border>
    <border>
      <left style="thin">
        <color indexed="55"/>
      </left>
      <right style="thin">
        <color indexed="55"/>
      </right>
      <top style="thin">
        <color indexed="55"/>
      </top>
      <bottom style="thin">
        <color indexed="55"/>
      </bottom>
      <diagonal/>
    </border>
    <border>
      <left/>
      <right/>
      <top/>
      <bottom style="thick">
        <color indexed="40"/>
      </bottom>
      <diagonal/>
    </border>
    <border>
      <left/>
      <right/>
      <top/>
      <bottom style="thick">
        <color indexed="51"/>
      </bottom>
      <diagonal/>
    </border>
    <border>
      <left/>
      <right/>
      <top/>
      <bottom style="medium">
        <color indexed="5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0"/>
      </bottom>
      <diagonal/>
    </border>
    <border>
      <left/>
      <right/>
      <top style="thin">
        <color indexed="40"/>
      </top>
      <bottom style="double">
        <color indexed="40"/>
      </bottom>
      <diagonal/>
    </border>
  </borders>
  <cellStyleXfs count="49">
    <xf numFmtId="0" fontId="0" fillId="0" borderId="0"/>
    <xf numFmtId="43" fontId="63" fillId="0" borderId="0">
      <alignment vertical="center"/>
    </xf>
    <xf numFmtId="44" fontId="63" fillId="0" borderId="0">
      <alignment vertical="center"/>
    </xf>
    <xf numFmtId="0" fontId="0" fillId="0" borderId="0"/>
    <xf numFmtId="41" fontId="63" fillId="0" borderId="0">
      <alignment vertical="center"/>
    </xf>
    <xf numFmtId="42" fontId="63" fillId="0" borderId="0">
      <alignment vertical="center"/>
    </xf>
    <xf numFmtId="0" fontId="64" fillId="0" borderId="0">
      <alignment vertical="top"/>
      <protection locked="0"/>
    </xf>
    <xf numFmtId="0" fontId="65" fillId="0" borderId="0">
      <alignment vertical="center"/>
    </xf>
    <xf numFmtId="0" fontId="0" fillId="5" borderId="17"/>
    <xf numFmtId="0" fontId="66" fillId="0" borderId="0"/>
    <xf numFmtId="0" fontId="67" fillId="0" borderId="0"/>
    <xf numFmtId="0" fontId="68" fillId="0" borderId="0"/>
    <xf numFmtId="0" fontId="69" fillId="0" borderId="18"/>
    <xf numFmtId="0" fontId="70" fillId="0" borderId="19"/>
    <xf numFmtId="0" fontId="71" fillId="0" borderId="20"/>
    <xf numFmtId="0" fontId="71" fillId="0" borderId="0"/>
    <xf numFmtId="0" fontId="72" fillId="6" borderId="21"/>
    <xf numFmtId="0" fontId="73" fillId="7" borderId="22"/>
    <xf numFmtId="0" fontId="74" fillId="7" borderId="21"/>
    <xf numFmtId="0" fontId="75" fillId="8" borderId="23"/>
    <xf numFmtId="0" fontId="76" fillId="0" borderId="24"/>
    <xf numFmtId="0" fontId="77" fillId="0" borderId="25"/>
    <xf numFmtId="0" fontId="78" fillId="9" borderId="0"/>
    <xf numFmtId="0" fontId="79" fillId="10" borderId="0"/>
    <xf numFmtId="0" fontId="80" fillId="5" borderId="0"/>
    <xf numFmtId="0" fontId="81" fillId="11" borderId="0"/>
    <xf numFmtId="0" fontId="82" fillId="12" borderId="0"/>
    <xf numFmtId="0" fontId="82" fillId="13" borderId="0"/>
    <xf numFmtId="0" fontId="81" fillId="14" borderId="0"/>
    <xf numFmtId="0" fontId="81" fillId="15" borderId="0"/>
    <xf numFmtId="0" fontId="82" fillId="16" borderId="0"/>
    <xf numFmtId="0" fontId="82" fillId="17" borderId="0"/>
    <xf numFmtId="0" fontId="81" fillId="18" borderId="0"/>
    <xf numFmtId="0" fontId="81" fillId="18" borderId="0"/>
    <xf numFmtId="0" fontId="82" fillId="16" borderId="0"/>
    <xf numFmtId="0" fontId="82" fillId="17" borderId="0"/>
    <xf numFmtId="0" fontId="81" fillId="18" borderId="0"/>
    <xf numFmtId="0" fontId="81" fillId="19" borderId="0"/>
    <xf numFmtId="0" fontId="82" fillId="12" borderId="0"/>
    <xf numFmtId="0" fontId="82" fillId="13" borderId="0"/>
    <xf numFmtId="0" fontId="81" fillId="14" borderId="0"/>
    <xf numFmtId="0" fontId="81" fillId="20" borderId="0"/>
    <xf numFmtId="0" fontId="82" fillId="21" borderId="0"/>
    <xf numFmtId="0" fontId="82" fillId="21" borderId="0"/>
    <xf numFmtId="0" fontId="81" fillId="11" borderId="0"/>
    <xf numFmtId="0" fontId="81" fillId="22" borderId="0"/>
    <xf numFmtId="0" fontId="82" fillId="5" borderId="0"/>
    <xf numFmtId="0" fontId="82" fillId="5" borderId="0"/>
    <xf numFmtId="0" fontId="81" fillId="6" borderId="0"/>
  </cellStyleXfs>
  <cellXfs count="165">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6" applyFont="1" applyAlignment="1" applyProtection="1"/>
    <xf numFmtId="0" fontId="4" fillId="0" borderId="0" xfId="0" applyFont="1" applyAlignment="1">
      <alignment horizontal="right"/>
    </xf>
    <xf numFmtId="0" fontId="5" fillId="0" borderId="0" xfId="0" applyFont="1"/>
    <xf numFmtId="0" fontId="6" fillId="0" borderId="0" xfId="0" applyFont="1"/>
    <xf numFmtId="0" fontId="7" fillId="0" borderId="0" xfId="0" applyFont="1" applyAlignment="1">
      <alignment horizontal="left" wrapText="1"/>
    </xf>
    <xf numFmtId="0" fontId="7" fillId="0" borderId="0" xfId="0" applyFont="1" applyAlignment="1">
      <alignment wrapText="1"/>
    </xf>
    <xf numFmtId="0" fontId="5" fillId="0" borderId="0" xfId="0" applyFont="1" applyAlignment="1">
      <alignment horizontal="left"/>
    </xf>
    <xf numFmtId="0" fontId="8" fillId="0" borderId="0" xfId="0" applyFont="1" applyAlignment="1">
      <alignment vertical="center"/>
    </xf>
    <xf numFmtId="0" fontId="7" fillId="0" borderId="0" xfId="0" applyFont="1" applyAlignment="1">
      <alignment vertical="center" wrapText="1"/>
    </xf>
    <xf numFmtId="0" fontId="0" fillId="0" borderId="0" xfId="0" applyAlignment="1">
      <alignment vertical="center"/>
    </xf>
    <xf numFmtId="0" fontId="8" fillId="0" borderId="0" xfId="0" applyFont="1"/>
    <xf numFmtId="0" fontId="9" fillId="0" borderId="0" xfId="0" applyFont="1" applyAlignment="1">
      <alignment vertical="center" wrapText="1"/>
    </xf>
    <xf numFmtId="0" fontId="10" fillId="0" borderId="0" xfId="0" applyFont="1"/>
    <xf numFmtId="0" fontId="11" fillId="0" borderId="0" xfId="0" applyFont="1"/>
    <xf numFmtId="0" fontId="3" fillId="0" borderId="0" xfId="6" applyFont="1" applyAlignment="1" applyProtection="1">
      <alignment vertical="center"/>
    </xf>
    <xf numFmtId="0" fontId="4" fillId="0" borderId="0" xfId="0" applyFont="1" applyAlignment="1">
      <alignment wrapText="1"/>
    </xf>
    <xf numFmtId="0" fontId="12" fillId="0" borderId="0" xfId="0" applyFont="1" applyAlignment="1">
      <alignment horizontal="right"/>
    </xf>
    <xf numFmtId="0" fontId="7" fillId="0" borderId="0" xfId="0" applyFont="1"/>
    <xf numFmtId="0" fontId="0" fillId="0" borderId="0" xfId="0" applyAlignment="1">
      <alignment horizontal="left" wrapText="1" indent="1"/>
    </xf>
    <xf numFmtId="0" fontId="11" fillId="0" borderId="0" xfId="0" applyFont="1" applyAlignment="1">
      <alignment horizontal="right"/>
    </xf>
    <xf numFmtId="0" fontId="13" fillId="0" borderId="0" xfId="0" applyFont="1" applyAlignment="1">
      <alignment vertical="center" wrapText="1"/>
    </xf>
    <xf numFmtId="0" fontId="7" fillId="0" borderId="0" xfId="0" applyFont="1" applyAlignment="1">
      <alignment horizontal="left" vertical="center" wrapText="1"/>
    </xf>
    <xf numFmtId="0" fontId="7" fillId="0" borderId="0" xfId="0" applyFont="1" applyAlignment="1">
      <alignment horizontal="left" indent="1"/>
    </xf>
    <xf numFmtId="0" fontId="13" fillId="0" borderId="0" xfId="0" applyFont="1"/>
    <xf numFmtId="0" fontId="12" fillId="0" borderId="0" xfId="0" applyFont="1" applyAlignment="1">
      <alignment horizontal="left" wrapText="1"/>
    </xf>
    <xf numFmtId="0" fontId="14" fillId="0" borderId="0" xfId="0" applyFont="1" applyAlignment="1">
      <alignment horizontal="left" indent="1"/>
    </xf>
    <xf numFmtId="0" fontId="7" fillId="0" borderId="0" xfId="0" applyFont="1" applyAlignment="1">
      <alignment horizontal="left" wrapText="1" indent="1"/>
    </xf>
    <xf numFmtId="0" fontId="4" fillId="0" borderId="0" xfId="0" applyFont="1" applyAlignment="1">
      <alignment horizontal="left" vertical="center"/>
    </xf>
    <xf numFmtId="0" fontId="15" fillId="0" borderId="0" xfId="0" applyFont="1"/>
    <xf numFmtId="0" fontId="16" fillId="0" borderId="0" xfId="0" applyFont="1" applyAlignment="1">
      <alignment vertical="center"/>
    </xf>
    <xf numFmtId="0" fontId="17" fillId="0" borderId="0" xfId="0" applyFont="1"/>
    <xf numFmtId="0" fontId="18" fillId="0" borderId="0" xfId="0" applyFont="1" applyAlignment="1">
      <alignment vertical="center"/>
    </xf>
    <xf numFmtId="0" fontId="19" fillId="0" borderId="0" xfId="0" applyFont="1"/>
    <xf numFmtId="0" fontId="20" fillId="0" borderId="1" xfId="0" applyFont="1" applyBorder="1"/>
    <xf numFmtId="0" fontId="21" fillId="0" borderId="2" xfId="0" applyFont="1" applyBorder="1" applyAlignment="1">
      <alignment vertical="center"/>
    </xf>
    <xf numFmtId="0" fontId="21" fillId="0" borderId="3" xfId="0" applyFont="1" applyBorder="1" applyAlignment="1">
      <alignment vertical="center"/>
    </xf>
    <xf numFmtId="0" fontId="21"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24" fillId="0" borderId="0" xfId="0" applyFont="1" applyProtection="1">
      <protection locked="0"/>
    </xf>
    <xf numFmtId="0" fontId="25" fillId="0" borderId="0" xfId="0" applyFont="1"/>
    <xf numFmtId="0" fontId="24" fillId="0" borderId="0" xfId="0" applyFont="1"/>
    <xf numFmtId="0" fontId="24" fillId="0" borderId="0" xfId="0" applyFont="1" applyAlignment="1">
      <alignment horizontal="center"/>
    </xf>
    <xf numFmtId="0" fontId="26" fillId="0" borderId="0" xfId="0" applyFont="1" applyAlignment="1" applyProtection="1">
      <alignment horizontal="left" vertical="center" indent="1"/>
      <protection locked="0"/>
    </xf>
    <xf numFmtId="0" fontId="27" fillId="0" borderId="0" xfId="0" applyFont="1" applyAlignment="1" applyProtection="1">
      <alignment vertical="center"/>
      <protection locked="0"/>
    </xf>
    <xf numFmtId="0" fontId="27" fillId="0" borderId="0" xfId="0" applyFont="1" applyAlignment="1" applyProtection="1">
      <alignment horizontal="center" vertical="center"/>
      <protection locked="0"/>
    </xf>
    <xf numFmtId="0" fontId="15" fillId="0" borderId="0" xfId="0" applyFont="1" applyAlignment="1">
      <alignment horizontal="center" vertical="center"/>
    </xf>
    <xf numFmtId="0" fontId="28" fillId="0" borderId="0" xfId="0" applyFont="1" applyAlignment="1">
      <alignment vertical="center"/>
    </xf>
    <xf numFmtId="0" fontId="29" fillId="0" borderId="0" xfId="6" applyFont="1" applyAlignment="1" applyProtection="1">
      <alignment horizontal="left" vertical="center"/>
    </xf>
    <xf numFmtId="0" fontId="30" fillId="0" borderId="0" xfId="0" applyFont="1" applyAlignment="1" applyProtection="1">
      <alignment horizontal="left" vertical="center" indent="1"/>
      <protection locked="0"/>
    </xf>
    <xf numFmtId="0" fontId="31" fillId="0" borderId="0" xfId="0" applyFont="1" applyAlignment="1" applyProtection="1">
      <alignment vertical="center"/>
      <protection locked="0"/>
    </xf>
    <xf numFmtId="0" fontId="31" fillId="0" borderId="0" xfId="0" applyFont="1" applyAlignment="1" applyProtection="1">
      <alignment horizontal="center" vertical="center"/>
      <protection locked="0"/>
    </xf>
    <xf numFmtId="0" fontId="32" fillId="0" borderId="0" xfId="0" applyFont="1" applyAlignment="1" applyProtection="1">
      <alignment horizontal="center" vertical="center"/>
      <protection locked="0"/>
    </xf>
    <xf numFmtId="0" fontId="32" fillId="0" borderId="0" xfId="0" applyFont="1" applyAlignment="1">
      <alignment vertical="center"/>
    </xf>
    <xf numFmtId="0" fontId="30" fillId="0" borderId="0" xfId="0" applyFont="1"/>
    <xf numFmtId="0" fontId="33" fillId="0" borderId="0" xfId="0" applyFont="1" applyAlignment="1">
      <alignment horizontal="right" vertical="center" indent="1"/>
    </xf>
    <xf numFmtId="176" fontId="33" fillId="0" borderId="4" xfId="0" applyNumberFormat="1" applyFont="1" applyBorder="1" applyAlignment="1" applyProtection="1">
      <alignment horizontal="center" vertical="center" shrinkToFit="1"/>
      <protection locked="0"/>
    </xf>
    <xf numFmtId="0" fontId="34" fillId="0" borderId="0" xfId="0" applyFont="1" applyAlignment="1">
      <alignment horizontal="center"/>
    </xf>
    <xf numFmtId="0" fontId="33" fillId="0" borderId="0" xfId="0" applyFont="1" applyAlignment="1">
      <alignment horizontal="center" vertical="center"/>
    </xf>
    <xf numFmtId="0" fontId="27" fillId="2" borderId="0" xfId="0" applyFont="1" applyFill="1" applyAlignment="1" applyProtection="1">
      <alignment horizontal="center" vertical="center"/>
      <protection locked="0"/>
    </xf>
    <xf numFmtId="0" fontId="35" fillId="3" borderId="5" xfId="0" applyFont="1" applyFill="1" applyBorder="1" applyAlignment="1">
      <alignment horizontal="center" vertical="center"/>
    </xf>
    <xf numFmtId="0" fontId="30" fillId="0" borderId="0" xfId="0" applyFont="1" applyAlignment="1">
      <alignment vertical="center"/>
    </xf>
    <xf numFmtId="0" fontId="36" fillId="0" borderId="0" xfId="0" applyFont="1" applyAlignment="1">
      <alignment horizontal="right" vertical="center" indent="1"/>
    </xf>
    <xf numFmtId="176" fontId="33" fillId="0" borderId="6" xfId="0" applyNumberFormat="1" applyFont="1" applyBorder="1" applyAlignment="1" applyProtection="1">
      <alignment horizontal="center" vertical="center" shrinkToFit="1"/>
      <protection locked="0"/>
    </xf>
    <xf numFmtId="0" fontId="35" fillId="0" borderId="0" xfId="0" applyFont="1" applyAlignment="1">
      <alignment horizontal="center" vertical="center"/>
    </xf>
    <xf numFmtId="0" fontId="35" fillId="0" borderId="0" xfId="0" applyFont="1" applyAlignment="1">
      <alignment vertical="center"/>
    </xf>
    <xf numFmtId="0" fontId="37" fillId="0" borderId="0" xfId="0" applyFont="1" applyAlignment="1">
      <alignment vertical="center"/>
    </xf>
    <xf numFmtId="57" fontId="38" fillId="3" borderId="7" xfId="0" applyNumberFormat="1" applyFont="1" applyFill="1" applyBorder="1" applyAlignment="1">
      <alignment horizontal="center" vertical="center"/>
    </xf>
    <xf numFmtId="0" fontId="39" fillId="0" borderId="0" xfId="0" applyFont="1"/>
    <xf numFmtId="0" fontId="40" fillId="0" borderId="0" xfId="0" applyFont="1"/>
    <xf numFmtId="0" fontId="40" fillId="0" borderId="0" xfId="0" applyFont="1" applyAlignment="1">
      <alignment horizontal="center"/>
    </xf>
    <xf numFmtId="0" fontId="41" fillId="0" borderId="0" xfId="0" applyFont="1"/>
    <xf numFmtId="177" fontId="38" fillId="3" borderId="8" xfId="0" applyNumberFormat="1" applyFont="1" applyFill="1" applyBorder="1" applyAlignment="1">
      <alignment horizontal="center" vertical="center" shrinkToFit="1"/>
    </xf>
    <xf numFmtId="177" fontId="38" fillId="3" borderId="9" xfId="0" applyNumberFormat="1" applyFont="1" applyFill="1" applyBorder="1" applyAlignment="1">
      <alignment horizontal="center" vertical="center" shrinkToFit="1"/>
    </xf>
    <xf numFmtId="177" fontId="38" fillId="3" borderId="10" xfId="0" applyNumberFormat="1" applyFont="1" applyFill="1" applyBorder="1" applyAlignment="1">
      <alignment horizontal="center" vertical="center" shrinkToFit="1"/>
    </xf>
    <xf numFmtId="177" fontId="38" fillId="3" borderId="0" xfId="0" applyNumberFormat="1" applyFont="1" applyFill="1" applyAlignment="1">
      <alignment horizontal="center" vertical="center" shrinkToFit="1"/>
    </xf>
    <xf numFmtId="0" fontId="30" fillId="0" borderId="1" xfId="0" applyFont="1" applyBorder="1" applyAlignment="1">
      <alignment horizontal="left"/>
    </xf>
    <xf numFmtId="0" fontId="42" fillId="0" borderId="1" xfId="0" applyFont="1" applyBorder="1" applyAlignment="1">
      <alignment horizontal="center"/>
    </xf>
    <xf numFmtId="0" fontId="43" fillId="0" borderId="1" xfId="0" applyFont="1" applyBorder="1" applyAlignment="1">
      <alignment horizontal="left" wrapText="1"/>
    </xf>
    <xf numFmtId="0" fontId="42" fillId="0" borderId="1" xfId="0" applyFont="1" applyBorder="1" applyAlignment="1">
      <alignment horizontal="center" wrapText="1"/>
    </xf>
    <xf numFmtId="0" fontId="20" fillId="0" borderId="1" xfId="0" applyFont="1" applyBorder="1" applyAlignment="1">
      <alignment horizontal="center" vertical="center" wrapText="1"/>
    </xf>
    <xf numFmtId="0" fontId="38" fillId="0" borderId="11" xfId="0" applyFont="1" applyBorder="1" applyAlignment="1">
      <alignment horizontal="center" vertical="center" shrinkToFit="1"/>
    </xf>
    <xf numFmtId="0" fontId="38" fillId="0" borderId="12" xfId="0" applyFont="1" applyBorder="1" applyAlignment="1">
      <alignment horizontal="center" vertical="center" shrinkToFit="1"/>
    </xf>
    <xf numFmtId="0" fontId="38" fillId="0" borderId="13" xfId="0" applyFont="1" applyBorder="1" applyAlignment="1">
      <alignment horizontal="center" vertical="center" shrinkToFit="1"/>
    </xf>
    <xf numFmtId="0" fontId="38" fillId="0" borderId="1" xfId="0" applyFont="1" applyBorder="1" applyAlignment="1">
      <alignment horizontal="center" vertical="center" shrinkToFit="1"/>
    </xf>
    <xf numFmtId="0" fontId="20" fillId="0" borderId="11" xfId="0" applyFont="1" applyBorder="1"/>
    <xf numFmtId="0" fontId="44" fillId="0" borderId="2" xfId="0" applyFont="1" applyBorder="1" applyAlignment="1">
      <alignment horizontal="left" vertical="center"/>
    </xf>
    <xf numFmtId="0" fontId="45" fillId="0" borderId="2" xfId="0" applyFont="1" applyBorder="1" applyAlignment="1">
      <alignment horizontal="left" vertical="center" indent="1"/>
    </xf>
    <xf numFmtId="0" fontId="22" fillId="0" borderId="2" xfId="0" applyFont="1" applyBorder="1" applyAlignment="1">
      <alignment vertical="center"/>
    </xf>
    <xf numFmtId="178" fontId="22" fillId="0" borderId="2" xfId="0" applyNumberFormat="1" applyFont="1" applyBorder="1" applyAlignment="1">
      <alignment horizontal="center" vertical="center"/>
    </xf>
    <xf numFmtId="1" fontId="22" fillId="0" borderId="2" xfId="3" applyNumberFormat="1" applyFont="1" applyBorder="1" applyAlignment="1">
      <alignment horizontal="center" vertical="center"/>
    </xf>
    <xf numFmtId="9" fontId="22" fillId="0" borderId="2" xfId="3" applyNumberFormat="1" applyFont="1" applyBorder="1" applyAlignment="1">
      <alignment horizontal="center" vertical="center"/>
    </xf>
    <xf numFmtId="1" fontId="46" fillId="0" borderId="2" xfId="0" applyNumberFormat="1" applyFont="1" applyBorder="1" applyAlignment="1">
      <alignment horizontal="center" vertical="center"/>
    </xf>
    <xf numFmtId="1" fontId="47" fillId="0" borderId="2" xfId="0" applyNumberFormat="1" applyFont="1" applyBorder="1" applyAlignment="1">
      <alignment horizontal="center" vertical="center"/>
    </xf>
    <xf numFmtId="0" fontId="21" fillId="0" borderId="2" xfId="0" applyFont="1" applyBorder="1" applyAlignment="1">
      <alignment horizontal="center" vertical="center"/>
    </xf>
    <xf numFmtId="0" fontId="44" fillId="0" borderId="3" xfId="0" applyFont="1" applyBorder="1" applyAlignment="1">
      <alignment horizontal="left" vertical="center"/>
    </xf>
    <xf numFmtId="0" fontId="22" fillId="0" borderId="3" xfId="0" applyFont="1" applyBorder="1" applyAlignment="1">
      <alignment horizontal="left" vertical="center" wrapText="1" indent="1"/>
    </xf>
    <xf numFmtId="0" fontId="22" fillId="0" borderId="3" xfId="0" applyFont="1" applyBorder="1" applyAlignment="1">
      <alignment vertical="center"/>
    </xf>
    <xf numFmtId="179" fontId="22" fillId="0" borderId="14" xfId="0" applyNumberFormat="1" applyFont="1" applyBorder="1" applyAlignment="1">
      <alignment horizontal="center" vertical="center"/>
    </xf>
    <xf numFmtId="179" fontId="46" fillId="3" borderId="14" xfId="0" applyNumberFormat="1" applyFont="1" applyFill="1" applyBorder="1" applyAlignment="1">
      <alignment horizontal="center" vertical="center"/>
    </xf>
    <xf numFmtId="1" fontId="48" fillId="0" borderId="14" xfId="0" applyNumberFormat="1" applyFont="1" applyBorder="1" applyAlignment="1">
      <alignment horizontal="center" vertical="center"/>
    </xf>
    <xf numFmtId="9" fontId="48" fillId="0" borderId="14" xfId="3" applyNumberFormat="1" applyFont="1" applyBorder="1" applyAlignment="1">
      <alignment horizontal="center" vertical="center"/>
    </xf>
    <xf numFmtId="1" fontId="46" fillId="3" borderId="14" xfId="0" applyNumberFormat="1" applyFont="1" applyFill="1" applyBorder="1" applyAlignment="1">
      <alignment horizontal="right" vertical="center" indent="1"/>
    </xf>
    <xf numFmtId="1" fontId="49" fillId="0" borderId="14" xfId="0" applyNumberFormat="1" applyFont="1" applyBorder="1" applyAlignment="1">
      <alignment horizontal="center" vertical="center"/>
    </xf>
    <xf numFmtId="0" fontId="21" fillId="0" borderId="3" xfId="0" applyFont="1" applyBorder="1" applyAlignment="1">
      <alignment horizontal="center" vertical="center"/>
    </xf>
    <xf numFmtId="0" fontId="22" fillId="0" borderId="3" xfId="0" applyFont="1" applyBorder="1" applyAlignment="1">
      <alignment horizontal="left" vertical="center" indent="1"/>
    </xf>
    <xf numFmtId="179" fontId="50" fillId="0" borderId="15" xfId="0" applyNumberFormat="1" applyFont="1" applyBorder="1" applyAlignment="1">
      <alignment horizontal="center" vertical="center"/>
    </xf>
    <xf numFmtId="179" fontId="46" fillId="3" borderId="15" xfId="0" applyNumberFormat="1" applyFont="1" applyFill="1" applyBorder="1" applyAlignment="1">
      <alignment horizontal="center" vertical="center"/>
    </xf>
    <xf numFmtId="1" fontId="22" fillId="0" borderId="15" xfId="3" applyNumberFormat="1" applyFont="1" applyBorder="1" applyAlignment="1">
      <alignment horizontal="center" vertical="center"/>
    </xf>
    <xf numFmtId="9" fontId="22" fillId="0" borderId="15" xfId="3" applyNumberFormat="1" applyFont="1" applyBorder="1" applyAlignment="1">
      <alignment horizontal="center" vertical="center"/>
    </xf>
    <xf numFmtId="1" fontId="47" fillId="0" borderId="15" xfId="0" applyNumberFormat="1" applyFont="1" applyBorder="1" applyAlignment="1">
      <alignment horizontal="center" vertical="center"/>
    </xf>
    <xf numFmtId="0" fontId="45" fillId="0" borderId="3" xfId="0" applyFont="1" applyBorder="1" applyAlignment="1">
      <alignment horizontal="left" vertical="center" indent="1"/>
    </xf>
    <xf numFmtId="180" fontId="50" fillId="0" borderId="3" xfId="0" applyNumberFormat="1" applyFont="1" applyBorder="1" applyAlignment="1">
      <alignment horizontal="center" vertical="center"/>
    </xf>
    <xf numFmtId="180" fontId="46" fillId="3" borderId="3" xfId="0" applyNumberFormat="1" applyFont="1" applyFill="1" applyBorder="1" applyAlignment="1">
      <alignment horizontal="center" vertical="center"/>
    </xf>
    <xf numFmtId="1" fontId="22" fillId="0" borderId="3" xfId="3" applyNumberFormat="1" applyFont="1" applyBorder="1" applyAlignment="1">
      <alignment horizontal="center" vertical="center"/>
    </xf>
    <xf numFmtId="9" fontId="22" fillId="0" borderId="3" xfId="3" applyNumberFormat="1" applyFont="1" applyBorder="1" applyAlignment="1">
      <alignment horizontal="center" vertical="center"/>
    </xf>
    <xf numFmtId="1" fontId="47" fillId="0" borderId="3" xfId="0" applyNumberFormat="1" applyFont="1" applyBorder="1" applyAlignment="1">
      <alignment horizontal="center" vertical="center"/>
    </xf>
    <xf numFmtId="180" fontId="22" fillId="0" borderId="14" xfId="0" applyNumberFormat="1" applyFont="1" applyBorder="1" applyAlignment="1">
      <alignment horizontal="center" vertical="center"/>
    </xf>
    <xf numFmtId="180" fontId="46" fillId="3" borderId="14" xfId="0" applyNumberFormat="1" applyFont="1" applyFill="1" applyBorder="1" applyAlignment="1">
      <alignment horizontal="center" vertical="center"/>
    </xf>
    <xf numFmtId="179" fontId="50" fillId="0" borderId="3" xfId="0" applyNumberFormat="1" applyFont="1" applyBorder="1" applyAlignment="1">
      <alignment horizontal="center" vertical="center"/>
    </xf>
    <xf numFmtId="179" fontId="46" fillId="3" borderId="3" xfId="0" applyNumberFormat="1" applyFont="1" applyFill="1" applyBorder="1" applyAlignment="1">
      <alignment horizontal="center" vertical="center"/>
    </xf>
    <xf numFmtId="1" fontId="46" fillId="3" borderId="3" xfId="0" applyNumberFormat="1" applyFont="1" applyFill="1" applyBorder="1" applyAlignment="1">
      <alignment horizontal="right" vertical="center" indent="1"/>
    </xf>
    <xf numFmtId="179" fontId="50" fillId="0" borderId="2" xfId="0" applyNumberFormat="1" applyFont="1" applyBorder="1" applyAlignment="1">
      <alignment horizontal="center" vertical="center"/>
    </xf>
    <xf numFmtId="179" fontId="46" fillId="3" borderId="2" xfId="0" applyNumberFormat="1" applyFont="1" applyFill="1" applyBorder="1" applyAlignment="1">
      <alignment horizontal="center" vertical="center"/>
    </xf>
    <xf numFmtId="1" fontId="46" fillId="3" borderId="2" xfId="0" applyNumberFormat="1" applyFont="1" applyFill="1" applyBorder="1" applyAlignment="1">
      <alignment horizontal="right" vertical="center" indent="1"/>
    </xf>
    <xf numFmtId="0" fontId="51" fillId="0" borderId="3" xfId="0" applyFont="1" applyBorder="1" applyAlignment="1">
      <alignment horizontal="left" vertical="center"/>
    </xf>
    <xf numFmtId="0" fontId="52" fillId="0" borderId="3" xfId="0" applyFont="1" applyBorder="1" applyAlignment="1">
      <alignment vertical="center"/>
    </xf>
    <xf numFmtId="0" fontId="53" fillId="0" borderId="3" xfId="0" applyFont="1" applyBorder="1" applyAlignment="1">
      <alignment vertical="center"/>
    </xf>
    <xf numFmtId="179" fontId="53" fillId="0" borderId="3" xfId="0" applyNumberFormat="1" applyFont="1" applyBorder="1" applyAlignment="1">
      <alignment horizontal="center" vertical="center"/>
    </xf>
    <xf numFmtId="1" fontId="46" fillId="0" borderId="3" xfId="0" applyNumberFormat="1" applyFont="1" applyBorder="1" applyAlignment="1">
      <alignment horizontal="center" vertical="center"/>
    </xf>
    <xf numFmtId="1" fontId="54" fillId="0" borderId="3" xfId="0" applyNumberFormat="1" applyFont="1" applyBorder="1" applyAlignment="1">
      <alignment horizontal="center" vertical="center"/>
    </xf>
    <xf numFmtId="0" fontId="22" fillId="0" borderId="3" xfId="0" applyFont="1" applyBorder="1" applyAlignment="1">
      <alignment horizontal="center" vertical="center"/>
    </xf>
    <xf numFmtId="0" fontId="25" fillId="0" borderId="3" xfId="0" applyFont="1" applyBorder="1" applyAlignment="1">
      <alignment horizontal="left" vertical="center"/>
    </xf>
    <xf numFmtId="0" fontId="55" fillId="0" borderId="3" xfId="0" applyFont="1" applyBorder="1" applyAlignment="1">
      <alignment vertical="center"/>
    </xf>
    <xf numFmtId="179" fontId="55" fillId="0" borderId="3" xfId="0" applyNumberFormat="1" applyFont="1" applyBorder="1" applyAlignment="1">
      <alignment horizontal="center" vertical="center"/>
    </xf>
    <xf numFmtId="1" fontId="21" fillId="0" borderId="3" xfId="3" applyNumberFormat="1" applyFont="1" applyBorder="1" applyAlignment="1">
      <alignment horizontal="center" vertical="center"/>
    </xf>
    <xf numFmtId="9" fontId="21" fillId="0" borderId="3" xfId="3" applyNumberFormat="1" applyFont="1" applyBorder="1" applyAlignment="1">
      <alignment horizontal="center" vertical="center"/>
    </xf>
    <xf numFmtId="1" fontId="56" fillId="0" borderId="3" xfId="0" applyNumberFormat="1" applyFont="1" applyBorder="1" applyAlignment="1">
      <alignment horizontal="center" vertical="center"/>
    </xf>
    <xf numFmtId="0" fontId="57" fillId="0" borderId="16" xfId="0" applyFont="1" applyBorder="1" applyAlignment="1">
      <alignment horizontal="left" vertical="center" indent="1"/>
    </xf>
    <xf numFmtId="0" fontId="58" fillId="0" borderId="16" xfId="0" applyFont="1" applyBorder="1" applyAlignment="1">
      <alignment horizontal="left" vertical="center"/>
    </xf>
    <xf numFmtId="179" fontId="58" fillId="0" borderId="16" xfId="0" applyNumberFormat="1" applyFont="1" applyBorder="1" applyAlignment="1">
      <alignment horizontal="center" vertical="center"/>
    </xf>
    <xf numFmtId="9" fontId="58" fillId="0" borderId="16" xfId="0" applyNumberFormat="1" applyFont="1" applyBorder="1" applyAlignment="1">
      <alignment horizontal="left" vertical="center"/>
    </xf>
    <xf numFmtId="0" fontId="59" fillId="4" borderId="0" xfId="0" applyFont="1" applyFill="1" applyAlignment="1">
      <alignment vertical="center"/>
    </xf>
    <xf numFmtId="0" fontId="21" fillId="4" borderId="0" xfId="0" applyFont="1" applyFill="1" applyAlignment="1">
      <alignment vertical="center"/>
    </xf>
    <xf numFmtId="179" fontId="21" fillId="4" borderId="0" xfId="0" applyNumberFormat="1" applyFont="1" applyFill="1" applyAlignment="1">
      <alignment horizontal="center" vertical="center"/>
    </xf>
    <xf numFmtId="9" fontId="21" fillId="4" borderId="0" xfId="0" applyNumberFormat="1" applyFont="1" applyFill="1" applyAlignment="1">
      <alignment vertical="center"/>
    </xf>
    <xf numFmtId="0" fontId="56" fillId="4" borderId="0" xfId="0" applyFont="1" applyFill="1" applyAlignment="1">
      <alignment vertical="center"/>
    </xf>
    <xf numFmtId="0" fontId="47" fillId="4" borderId="0" xfId="0" applyFont="1" applyFill="1" applyAlignment="1">
      <alignment vertical="center"/>
    </xf>
    <xf numFmtId="0" fontId="21" fillId="4" borderId="0" xfId="3" applyFont="1" applyFill="1" applyAlignment="1">
      <alignment vertical="center"/>
    </xf>
    <xf numFmtId="9" fontId="21" fillId="4" borderId="0" xfId="3" applyNumberFormat="1" applyFont="1" applyFill="1" applyAlignment="1">
      <alignment vertical="center"/>
    </xf>
    <xf numFmtId="1" fontId="47" fillId="4" borderId="3" xfId="0" applyNumberFormat="1" applyFont="1" applyFill="1" applyBorder="1" applyAlignment="1">
      <alignment horizontal="center" vertical="center"/>
    </xf>
    <xf numFmtId="0" fontId="60" fillId="4" borderId="3" xfId="0" applyFont="1" applyFill="1" applyBorder="1" applyAlignment="1">
      <alignment horizontal="left" vertical="center"/>
    </xf>
    <xf numFmtId="0" fontId="61" fillId="4" borderId="3" xfId="0" applyFont="1" applyFill="1" applyBorder="1" applyAlignment="1">
      <alignment horizontal="left" vertical="center" wrapText="1" indent="1"/>
    </xf>
    <xf numFmtId="0" fontId="61" fillId="4" borderId="3" xfId="0" applyFont="1" applyFill="1" applyBorder="1" applyAlignment="1">
      <alignment vertical="center"/>
    </xf>
    <xf numFmtId="178" fontId="61" fillId="4" borderId="14" xfId="0" applyNumberFormat="1" applyFont="1" applyFill="1" applyBorder="1" applyAlignment="1">
      <alignment horizontal="center" vertical="center"/>
    </xf>
    <xf numFmtId="178" fontId="56" fillId="4" borderId="14" xfId="0" applyNumberFormat="1" applyFont="1" applyFill="1" applyBorder="1" applyAlignment="1">
      <alignment horizontal="center" vertical="center"/>
    </xf>
    <xf numFmtId="1" fontId="62" fillId="4" borderId="14" xfId="0" applyNumberFormat="1" applyFont="1" applyFill="1" applyBorder="1" applyAlignment="1">
      <alignment horizontal="center" vertical="center"/>
    </xf>
    <xf numFmtId="9" fontId="62" fillId="4" borderId="14" xfId="3" applyNumberFormat="1" applyFont="1" applyFill="1" applyBorder="1" applyAlignment="1">
      <alignment horizontal="center" vertical="center"/>
    </xf>
    <xf numFmtId="1" fontId="56" fillId="4" borderId="14" xfId="0" applyNumberFormat="1" applyFont="1" applyFill="1" applyBorder="1" applyAlignment="1">
      <alignment horizontal="right" vertical="center" indent="1"/>
    </xf>
    <xf numFmtId="1" fontId="49" fillId="4" borderId="14" xfId="0" applyNumberFormat="1" applyFont="1" applyFill="1" applyBorder="1" applyAlignment="1">
      <alignment horizontal="center" vertical="center"/>
    </xf>
    <xf numFmtId="0" fontId="25" fillId="0" borderId="0" xfId="0" applyFont="1" applyProtection="1">
      <protection locked="0"/>
    </xf>
    <xf numFmtId="0" fontId="24" fillId="0" borderId="0" xfId="0" applyFont="1" applyAlignment="1" applyProtection="1">
      <alignment horizontal="center"/>
      <protection locked="0"/>
    </xf>
    <xf numFmtId="0" fontId="7" fillId="0" borderId="0" xfId="0" applyFont="1" applyAlignment="1" quotePrefix="1">
      <alignment horizontal="left" wrapText="1" indent="1"/>
    </xf>
    <xf numFmtId="0" fontId="7" fillId="0" borderId="0" xfId="0" applyFont="1" applyAlignment="1" quotePrefix="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4">
    <dxf>
      <border>
        <left style="thin">
          <color rgb="FFF70000"/>
        </left>
        <right style="thin">
          <color rgb="FFF70000"/>
        </right>
        <top/>
        <bottom/>
      </border>
    </dxf>
    <dxf>
      <fill>
        <patternFill patternType="solid">
          <bgColor rgb="FF003873"/>
        </patternFill>
      </fill>
    </dxf>
    <dxf>
      <fill>
        <patternFill patternType="lightUp">
          <fgColor rgb="FF003873"/>
          <bgColor rgb="FFCEDBE7"/>
        </patternFill>
      </fill>
    </dxf>
    <dxf>
      <font>
        <color theme="0"/>
      </font>
      <fill>
        <patternFill patternType="solid">
          <bgColor rgb="FFF7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2" Type="http://schemas.openxmlformats.org/officeDocument/2006/relationships/hyperlink" Target="https://www.vertex42.com/Links/go.php?urlid=GanttChartPro" TargetMode="External"/><Relationship Id="rId1" Type="http://schemas.openxmlformats.org/officeDocument/2006/relationships/hyperlink" Target="https://www.vertex42.com/ExcelTemplates/excel-gantt-chart.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pageSetUpPr fitToPage="1"/>
  </sheetPr>
  <dimension ref="A1:BN36"/>
  <sheetViews>
    <sheetView showGridLines="0" tabSelected="1" workbookViewId="0">
      <pane ySplit="6" topLeftCell="A7" activePane="bottomLeft" state="frozen"/>
      <selection/>
      <selection pane="bottomLeft" activeCell="D6" sqref="D6"/>
    </sheetView>
  </sheetViews>
  <sheetFormatPr defaultColWidth="0" defaultRowHeight="13"/>
  <cols>
    <col min="1" max="1" width="5.81818181818182" style="43" customWidth="1"/>
    <col min="2" max="2" width="35.1727272727273" style="44" customWidth="1"/>
    <col min="3" max="3" width="11.8545454545455" style="44" customWidth="1"/>
    <col min="4" max="5" width="17" style="45" customWidth="1"/>
    <col min="6" max="6" width="6" style="44" customWidth="1"/>
    <col min="7" max="7" width="6.72727272727273" style="44" customWidth="1"/>
    <col min="8" max="8" width="5.81818181818182" style="44" customWidth="1"/>
    <col min="9" max="9" width="3" style="44" customWidth="1"/>
    <col min="10" max="23" width="4.5" style="44" customWidth="1"/>
    <col min="24" max="65" width="3" style="44" hidden="1"/>
    <col min="66" max="66" width="5.45454545454545" style="44" customWidth="1"/>
    <col min="67" max="67" width="5" style="44" customWidth="1"/>
    <col min="68" max="150" width="0" style="44" hidden="1"/>
    <col min="151" max="16384" width="9.18181818181818" style="44" hidden="1" customWidth="1"/>
  </cols>
  <sheetData>
    <row r="1" s="31" customFormat="1" ht="53.25" customHeight="1" spans="1:66">
      <c r="A1" s="46" t="s">
        <v>0</v>
      </c>
      <c r="B1" s="47"/>
      <c r="C1" s="47"/>
      <c r="D1" s="48"/>
      <c r="E1" s="48"/>
      <c r="F1" s="49"/>
      <c r="J1" s="50" t="s">
        <v>1</v>
      </c>
      <c r="AC1" s="51"/>
    </row>
    <row r="2" s="32" customFormat="1" ht="21" customHeight="1" spans="1:66">
      <c r="A2" s="52"/>
      <c r="B2" s="53"/>
      <c r="C2" s="53"/>
      <c r="D2" s="54"/>
      <c r="E2" s="55"/>
      <c r="F2" s="56"/>
      <c r="G2" s="56"/>
      <c r="H2" s="56"/>
    </row>
    <row r="3" s="33" customFormat="1" ht="19.5" customHeight="1" spans="1:66">
      <c r="A3" s="57"/>
      <c r="B3" s="58" t="s">
        <v>2</v>
      </c>
      <c r="C3" s="59">
        <v>46209.375</v>
      </c>
      <c r="E3" s="60"/>
      <c r="F3" s="61" t="s">
        <v>3</v>
      </c>
      <c r="H3" s="62">
        <v>1</v>
      </c>
      <c r="J3" s="63" t="str">
        <f>"第  "&amp;((J5-($C$3-WEEKDAY($C$3,1)+2))/7+1)&amp;"  周 "</f>
        <v>第  1  周 </v>
      </c>
      <c r="Q3" s="63" t="str">
        <f>"第  "&amp;((Q5-($C$3-WEEKDAY($C$3,1)+2))/7+1)&amp;"  周 "</f>
        <v>第  2  周 </v>
      </c>
      <c r="X3" s="63" t="str">
        <f>"第  "&amp;((X5-($C$3-WEEKDAY($C$3,1)+2))/7+1)&amp;"  周 "</f>
        <v>第  3  周 </v>
      </c>
      <c r="AE3" s="63" t="str">
        <f>"第  "&amp;((AE5-($C$3-WEEKDAY($C$3,1)+2))/7+1)&amp;"  周 "</f>
        <v>第  4  周 </v>
      </c>
      <c r="AL3" s="63" t="str">
        <f>"第  "&amp;((AL5-($C$3-WEEKDAY($C$3,1)+2))/7+1)&amp;"  周 "</f>
        <v>第  5  周 </v>
      </c>
      <c r="AS3" s="63" t="str">
        <f>"第  "&amp;((AS5-($C$3-WEEKDAY($C$3,1)+2))/7+1)&amp;"  周 "</f>
        <v>第  6  周 </v>
      </c>
      <c r="AZ3" s="63" t="str">
        <f>"第  "&amp;((AZ5-($C$3-WEEKDAY($C$3,1)+2))/7+1)&amp;"  周 "</f>
        <v>第  7  周 </v>
      </c>
      <c r="BG3" s="63" t="str">
        <f>"第  "&amp;((BG5-($C$3-WEEKDAY($C$3,1)+2))/7+1)&amp;"  周 "</f>
        <v>第  8  周 </v>
      </c>
    </row>
    <row r="4" s="34" customFormat="1" ht="19.5" customHeight="1" spans="1:66">
      <c r="A4" s="64"/>
      <c r="B4" s="65" t="s">
        <v>4</v>
      </c>
      <c r="C4" s="66">
        <v>46217.9166666667</v>
      </c>
      <c r="E4" s="67"/>
      <c r="F4" s="68"/>
      <c r="G4" s="68"/>
      <c r="H4" s="69"/>
      <c r="J4" s="70">
        <f>J5</f>
        <v>46209.375</v>
      </c>
      <c r="Q4" s="70">
        <f>Q5</f>
        <v>46216.375</v>
      </c>
      <c r="X4" s="70">
        <f>X5</f>
        <v>46223.375</v>
      </c>
      <c r="AE4" s="70">
        <f>AE5</f>
        <v>46230.375</v>
      </c>
      <c r="AL4" s="70">
        <f>AL5</f>
        <v>46237.375</v>
      </c>
      <c r="AS4" s="70">
        <f>AS5</f>
        <v>46244.375</v>
      </c>
      <c r="AZ4" s="70">
        <f>AZ5</f>
        <v>46251.375</v>
      </c>
      <c r="BG4" s="70">
        <f>BG5</f>
        <v>46258.375</v>
      </c>
    </row>
    <row r="5" s="35" customFormat="1" ht="14.25" customHeight="1" spans="1:66">
      <c r="A5" s="71"/>
      <c r="B5" s="72"/>
      <c r="C5" s="72"/>
      <c r="D5" s="73"/>
      <c r="E5" s="73"/>
      <c r="F5" s="72"/>
      <c r="G5" s="72"/>
      <c r="H5" s="74"/>
      <c r="J5" s="75">
        <f>C3-WEEKDAY(C3,1)+2+7*(H3-1)</f>
        <v>46209.375</v>
      </c>
      <c r="K5" s="76">
        <f t="shared" ref="K5:BM5" si="0">J5+1</f>
        <v>46210.375</v>
      </c>
      <c r="L5" s="77">
        <f t="shared" si="0"/>
        <v>46211.375</v>
      </c>
      <c r="M5" s="76">
        <f t="shared" si="0"/>
        <v>46212.375</v>
      </c>
      <c r="N5" s="76">
        <f t="shared" si="0"/>
        <v>46213.375</v>
      </c>
      <c r="O5" s="77">
        <f t="shared" si="0"/>
        <v>46214.375</v>
      </c>
      <c r="P5" s="78">
        <f t="shared" si="0"/>
        <v>46215.375</v>
      </c>
      <c r="Q5" s="75">
        <f t="shared" si="0"/>
        <v>46216.375</v>
      </c>
      <c r="R5" s="76">
        <f t="shared" si="0"/>
        <v>46217.375</v>
      </c>
      <c r="S5" s="77">
        <f t="shared" si="0"/>
        <v>46218.375</v>
      </c>
      <c r="T5" s="76">
        <f t="shared" si="0"/>
        <v>46219.375</v>
      </c>
      <c r="U5" s="76">
        <f t="shared" si="0"/>
        <v>46220.375</v>
      </c>
      <c r="V5" s="77">
        <f t="shared" si="0"/>
        <v>46221.375</v>
      </c>
      <c r="W5" s="78">
        <f t="shared" si="0"/>
        <v>46222.375</v>
      </c>
      <c r="X5" s="75">
        <f t="shared" si="0"/>
        <v>46223.375</v>
      </c>
      <c r="Y5" s="76">
        <f t="shared" si="0"/>
        <v>46224.375</v>
      </c>
      <c r="Z5" s="77">
        <f t="shared" si="0"/>
        <v>46225.375</v>
      </c>
      <c r="AA5" s="76">
        <f t="shared" si="0"/>
        <v>46226.375</v>
      </c>
      <c r="AB5" s="76">
        <f t="shared" si="0"/>
        <v>46227.375</v>
      </c>
      <c r="AC5" s="77">
        <f t="shared" si="0"/>
        <v>46228.375</v>
      </c>
      <c r="AD5" s="78">
        <f t="shared" si="0"/>
        <v>46229.375</v>
      </c>
      <c r="AE5" s="75">
        <f t="shared" si="0"/>
        <v>46230.375</v>
      </c>
      <c r="AF5" s="76">
        <f t="shared" si="0"/>
        <v>46231.375</v>
      </c>
      <c r="AG5" s="77">
        <f t="shared" si="0"/>
        <v>46232.375</v>
      </c>
      <c r="AH5" s="76">
        <f t="shared" si="0"/>
        <v>46233.375</v>
      </c>
      <c r="AI5" s="76">
        <f t="shared" si="0"/>
        <v>46234.375</v>
      </c>
      <c r="AJ5" s="77">
        <f t="shared" si="0"/>
        <v>46235.375</v>
      </c>
      <c r="AK5" s="78">
        <f t="shared" si="0"/>
        <v>46236.375</v>
      </c>
      <c r="AL5" s="75">
        <f t="shared" si="0"/>
        <v>46237.375</v>
      </c>
      <c r="AM5" s="76">
        <f t="shared" si="0"/>
        <v>46238.375</v>
      </c>
      <c r="AN5" s="77">
        <f t="shared" si="0"/>
        <v>46239.375</v>
      </c>
      <c r="AO5" s="76">
        <f t="shared" si="0"/>
        <v>46240.375</v>
      </c>
      <c r="AP5" s="76">
        <f t="shared" si="0"/>
        <v>46241.375</v>
      </c>
      <c r="AQ5" s="77">
        <f t="shared" si="0"/>
        <v>46242.375</v>
      </c>
      <c r="AR5" s="78">
        <f t="shared" si="0"/>
        <v>46243.375</v>
      </c>
      <c r="AS5" s="75">
        <f t="shared" si="0"/>
        <v>46244.375</v>
      </c>
      <c r="AT5" s="76">
        <f t="shared" si="0"/>
        <v>46245.375</v>
      </c>
      <c r="AU5" s="77">
        <f t="shared" si="0"/>
        <v>46246.375</v>
      </c>
      <c r="AV5" s="76">
        <f t="shared" si="0"/>
        <v>46247.375</v>
      </c>
      <c r="AW5" s="76">
        <f t="shared" si="0"/>
        <v>46248.375</v>
      </c>
      <c r="AX5" s="77">
        <f t="shared" si="0"/>
        <v>46249.375</v>
      </c>
      <c r="AY5" s="78">
        <f t="shared" si="0"/>
        <v>46250.375</v>
      </c>
      <c r="AZ5" s="75">
        <f t="shared" si="0"/>
        <v>46251.375</v>
      </c>
      <c r="BA5" s="76">
        <f t="shared" si="0"/>
        <v>46252.375</v>
      </c>
      <c r="BB5" s="77">
        <f t="shared" si="0"/>
        <v>46253.375</v>
      </c>
      <c r="BC5" s="76">
        <f t="shared" si="0"/>
        <v>46254.375</v>
      </c>
      <c r="BD5" s="76">
        <f t="shared" si="0"/>
        <v>46255.375</v>
      </c>
      <c r="BE5" s="77">
        <f t="shared" si="0"/>
        <v>46256.375</v>
      </c>
      <c r="BF5" s="78">
        <f t="shared" si="0"/>
        <v>46257.375</v>
      </c>
      <c r="BG5" s="75">
        <f t="shared" si="0"/>
        <v>46258.375</v>
      </c>
      <c r="BH5" s="76">
        <f t="shared" si="0"/>
        <v>46259.375</v>
      </c>
      <c r="BI5" s="77">
        <f t="shared" si="0"/>
        <v>46260.375</v>
      </c>
      <c r="BJ5" s="76">
        <f t="shared" si="0"/>
        <v>46261.375</v>
      </c>
      <c r="BK5" s="76">
        <f t="shared" si="0"/>
        <v>46262.375</v>
      </c>
      <c r="BL5" s="77">
        <f t="shared" si="0"/>
        <v>46263.375</v>
      </c>
      <c r="BM5" s="77">
        <f t="shared" si="0"/>
        <v>46264.375</v>
      </c>
    </row>
    <row r="6" s="36" customFormat="1" ht="30" customHeight="1" spans="1:66">
      <c r="A6" s="79" t="s">
        <v>5</v>
      </c>
      <c r="B6" s="80" t="s">
        <v>6</v>
      </c>
      <c r="C6" s="81" t="s">
        <v>7</v>
      </c>
      <c r="D6" s="80" t="s">
        <v>8</v>
      </c>
      <c r="E6" s="80" t="s">
        <v>9</v>
      </c>
      <c r="F6" s="82" t="s">
        <v>10</v>
      </c>
      <c r="G6" s="82" t="s">
        <v>11</v>
      </c>
      <c r="H6" s="82" t="s">
        <v>12</v>
      </c>
      <c r="I6" s="83"/>
      <c r="J6" s="84" t="str">
        <f t="shared" ref="J6:BM6" si="1">CHOOSE(WEEKDAY(J5,1),"S","M","T","W","T","F","S")</f>
        <v>M</v>
      </c>
      <c r="K6" s="85" t="str">
        <f t="shared" si="1"/>
        <v>T</v>
      </c>
      <c r="L6" s="86" t="str">
        <f t="shared" si="1"/>
        <v>W</v>
      </c>
      <c r="M6" s="85" t="str">
        <f t="shared" si="1"/>
        <v>T</v>
      </c>
      <c r="N6" s="85" t="str">
        <f t="shared" si="1"/>
        <v>F</v>
      </c>
      <c r="O6" s="86" t="str">
        <f t="shared" si="1"/>
        <v>S</v>
      </c>
      <c r="P6" s="87" t="str">
        <f t="shared" si="1"/>
        <v>S</v>
      </c>
      <c r="Q6" s="84" t="str">
        <f t="shared" si="1"/>
        <v>M</v>
      </c>
      <c r="R6" s="85" t="str">
        <f t="shared" si="1"/>
        <v>T</v>
      </c>
      <c r="S6" s="86" t="str">
        <f t="shared" si="1"/>
        <v>W</v>
      </c>
      <c r="T6" s="85" t="str">
        <f t="shared" si="1"/>
        <v>T</v>
      </c>
      <c r="U6" s="85" t="str">
        <f t="shared" si="1"/>
        <v>F</v>
      </c>
      <c r="V6" s="86" t="str">
        <f t="shared" si="1"/>
        <v>S</v>
      </c>
      <c r="W6" s="87" t="str">
        <f t="shared" si="1"/>
        <v>S</v>
      </c>
      <c r="X6" s="84" t="str">
        <f t="shared" si="1"/>
        <v>M</v>
      </c>
      <c r="Y6" s="85" t="str">
        <f t="shared" si="1"/>
        <v>T</v>
      </c>
      <c r="Z6" s="86" t="str">
        <f t="shared" si="1"/>
        <v>W</v>
      </c>
      <c r="AA6" s="85" t="str">
        <f t="shared" si="1"/>
        <v>T</v>
      </c>
      <c r="AB6" s="85" t="str">
        <f t="shared" si="1"/>
        <v>F</v>
      </c>
      <c r="AC6" s="86" t="str">
        <f t="shared" si="1"/>
        <v>S</v>
      </c>
      <c r="AD6" s="87" t="str">
        <f t="shared" si="1"/>
        <v>S</v>
      </c>
      <c r="AE6" s="84" t="str">
        <f t="shared" si="1"/>
        <v>M</v>
      </c>
      <c r="AF6" s="85" t="str">
        <f t="shared" si="1"/>
        <v>T</v>
      </c>
      <c r="AG6" s="86" t="str">
        <f t="shared" si="1"/>
        <v>W</v>
      </c>
      <c r="AH6" s="85" t="str">
        <f t="shared" si="1"/>
        <v>T</v>
      </c>
      <c r="AI6" s="85" t="str">
        <f t="shared" si="1"/>
        <v>F</v>
      </c>
      <c r="AJ6" s="86" t="str">
        <f t="shared" si="1"/>
        <v>S</v>
      </c>
      <c r="AK6" s="87" t="str">
        <f t="shared" si="1"/>
        <v>S</v>
      </c>
      <c r="AL6" s="84" t="str">
        <f t="shared" si="1"/>
        <v>M</v>
      </c>
      <c r="AM6" s="85" t="str">
        <f t="shared" si="1"/>
        <v>T</v>
      </c>
      <c r="AN6" s="86" t="str">
        <f t="shared" si="1"/>
        <v>W</v>
      </c>
      <c r="AO6" s="85" t="str">
        <f t="shared" si="1"/>
        <v>T</v>
      </c>
      <c r="AP6" s="85" t="str">
        <f t="shared" si="1"/>
        <v>F</v>
      </c>
      <c r="AQ6" s="86" t="str">
        <f t="shared" si="1"/>
        <v>S</v>
      </c>
      <c r="AR6" s="87" t="str">
        <f t="shared" si="1"/>
        <v>S</v>
      </c>
      <c r="AS6" s="84" t="str">
        <f t="shared" si="1"/>
        <v>M</v>
      </c>
      <c r="AT6" s="85" t="str">
        <f t="shared" si="1"/>
        <v>T</v>
      </c>
      <c r="AU6" s="86" t="str">
        <f t="shared" si="1"/>
        <v>W</v>
      </c>
      <c r="AV6" s="85" t="str">
        <f t="shared" si="1"/>
        <v>T</v>
      </c>
      <c r="AW6" s="85" t="str">
        <f t="shared" si="1"/>
        <v>F</v>
      </c>
      <c r="AX6" s="86" t="str">
        <f t="shared" si="1"/>
        <v>S</v>
      </c>
      <c r="AY6" s="87" t="str">
        <f t="shared" si="1"/>
        <v>S</v>
      </c>
      <c r="AZ6" s="84" t="str">
        <f t="shared" si="1"/>
        <v>M</v>
      </c>
      <c r="BA6" s="85" t="str">
        <f t="shared" si="1"/>
        <v>T</v>
      </c>
      <c r="BB6" s="86" t="str">
        <f t="shared" si="1"/>
        <v>W</v>
      </c>
      <c r="BC6" s="85" t="str">
        <f t="shared" si="1"/>
        <v>T</v>
      </c>
      <c r="BD6" s="85" t="str">
        <f t="shared" si="1"/>
        <v>F</v>
      </c>
      <c r="BE6" s="86" t="str">
        <f t="shared" si="1"/>
        <v>S</v>
      </c>
      <c r="BF6" s="87" t="str">
        <f t="shared" si="1"/>
        <v>S</v>
      </c>
      <c r="BG6" s="84" t="str">
        <f t="shared" si="1"/>
        <v>M</v>
      </c>
      <c r="BH6" s="85" t="str">
        <f t="shared" si="1"/>
        <v>T</v>
      </c>
      <c r="BI6" s="86" t="str">
        <f t="shared" si="1"/>
        <v>W</v>
      </c>
      <c r="BJ6" s="85" t="str">
        <f t="shared" si="1"/>
        <v>T</v>
      </c>
      <c r="BK6" s="85" t="str">
        <f t="shared" si="1"/>
        <v>F</v>
      </c>
      <c r="BL6" s="86" t="str">
        <f t="shared" si="1"/>
        <v>S</v>
      </c>
      <c r="BM6" s="87" t="str">
        <f t="shared" si="1"/>
        <v>S</v>
      </c>
      <c r="BN6" s="88"/>
    </row>
    <row r="7" s="37" customFormat="1" ht="17.5" customHeight="1" spans="1:66">
      <c r="A7" s="89" t="s">
        <v>13</v>
      </c>
      <c r="B7" s="90" t="s">
        <v>14</v>
      </c>
      <c r="C7" s="91"/>
      <c r="D7" s="92"/>
      <c r="E7" s="92"/>
      <c r="F7" s="93"/>
      <c r="G7" s="94"/>
      <c r="H7" s="95"/>
      <c r="I7" s="96"/>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7"/>
      <c r="AN7" s="97"/>
      <c r="AO7" s="97"/>
      <c r="AP7" s="97"/>
      <c r="AQ7" s="97"/>
      <c r="AR7" s="97"/>
      <c r="AS7" s="97"/>
      <c r="AT7" s="97"/>
      <c r="AU7" s="97"/>
      <c r="AV7" s="97"/>
      <c r="AW7" s="97"/>
      <c r="AX7" s="97"/>
      <c r="AY7" s="97"/>
      <c r="AZ7" s="97"/>
      <c r="BA7" s="97"/>
      <c r="BB7" s="97"/>
      <c r="BC7" s="97"/>
      <c r="BD7" s="97"/>
      <c r="BE7" s="97"/>
      <c r="BF7" s="97"/>
      <c r="BG7" s="97"/>
      <c r="BH7" s="97"/>
      <c r="BI7" s="97"/>
      <c r="BJ7" s="97"/>
      <c r="BK7" s="97"/>
      <c r="BL7" s="97"/>
      <c r="BM7" s="97"/>
    </row>
    <row r="8" s="38" customFormat="1" ht="17.5" customHeight="1" spans="1:66">
      <c r="A8" s="98" t="s">
        <v>15</v>
      </c>
      <c r="B8" s="99" t="s">
        <v>16</v>
      </c>
      <c r="C8" s="100" t="s">
        <v>17</v>
      </c>
      <c r="D8" s="101">
        <v>46209</v>
      </c>
      <c r="E8" s="102">
        <v>46210</v>
      </c>
      <c r="F8" s="103">
        <v>2</v>
      </c>
      <c r="G8" s="104">
        <v>1</v>
      </c>
      <c r="H8" s="105">
        <v>2</v>
      </c>
      <c r="I8" s="106"/>
      <c r="J8" s="107"/>
      <c r="K8" s="107"/>
      <c r="L8" s="107"/>
      <c r="M8" s="107"/>
      <c r="N8" s="107"/>
      <c r="O8" s="107"/>
      <c r="P8" s="107"/>
      <c r="Q8" s="107"/>
      <c r="R8" s="107"/>
      <c r="S8" s="107"/>
      <c r="T8" s="107"/>
      <c r="U8" s="107"/>
      <c r="V8" s="107"/>
      <c r="W8" s="107"/>
      <c r="X8" s="107"/>
      <c r="Y8" s="107"/>
      <c r="Z8" s="107"/>
      <c r="AA8" s="107"/>
      <c r="AB8" s="107"/>
      <c r="AC8" s="107"/>
      <c r="AD8" s="107"/>
      <c r="AE8" s="107"/>
      <c r="AF8" s="107"/>
      <c r="AG8" s="107"/>
      <c r="AH8" s="107"/>
      <c r="AI8" s="107"/>
      <c r="AJ8" s="107"/>
      <c r="AK8" s="107"/>
      <c r="AL8" s="107"/>
      <c r="AM8" s="107"/>
      <c r="AN8" s="107"/>
      <c r="AO8" s="107"/>
      <c r="AP8" s="107"/>
      <c r="AQ8" s="107"/>
      <c r="AR8" s="107"/>
      <c r="AS8" s="107"/>
      <c r="AT8" s="107"/>
      <c r="AU8" s="107"/>
      <c r="AV8" s="107"/>
      <c r="AW8" s="107"/>
      <c r="AX8" s="107"/>
      <c r="AY8" s="107"/>
      <c r="AZ8" s="107"/>
      <c r="BA8" s="107"/>
      <c r="BB8" s="107"/>
      <c r="BC8" s="107"/>
      <c r="BD8" s="107"/>
      <c r="BE8" s="107"/>
      <c r="BF8" s="107"/>
      <c r="BG8" s="107"/>
      <c r="BH8" s="107"/>
      <c r="BI8" s="107"/>
      <c r="BJ8" s="107"/>
      <c r="BK8" s="107"/>
      <c r="BL8" s="107"/>
      <c r="BM8" s="107"/>
    </row>
    <row r="9" s="38" customFormat="1" ht="17.5" customHeight="1" spans="1:66">
      <c r="A9" s="98" t="s">
        <v>18</v>
      </c>
      <c r="B9" s="108" t="s">
        <v>19</v>
      </c>
      <c r="C9" s="100" t="s">
        <v>17</v>
      </c>
      <c r="D9" s="109">
        <v>46209</v>
      </c>
      <c r="E9" s="110">
        <v>46211</v>
      </c>
      <c r="F9" s="111">
        <v>3</v>
      </c>
      <c r="G9" s="112">
        <v>1</v>
      </c>
      <c r="H9" s="105">
        <v>3</v>
      </c>
      <c r="I9" s="113"/>
      <c r="J9" s="107"/>
      <c r="K9" s="107"/>
      <c r="L9" s="107"/>
      <c r="M9" s="107"/>
      <c r="N9" s="107"/>
      <c r="O9" s="107"/>
      <c r="P9" s="107"/>
      <c r="Q9" s="107"/>
      <c r="R9" s="107"/>
      <c r="S9" s="107"/>
      <c r="T9" s="107"/>
      <c r="U9" s="107"/>
      <c r="V9" s="107"/>
      <c r="W9" s="107"/>
      <c r="X9" s="107"/>
      <c r="Y9" s="107"/>
      <c r="Z9" s="107"/>
      <c r="AA9" s="107"/>
      <c r="AB9" s="107"/>
      <c r="AC9" s="107"/>
      <c r="AD9" s="107"/>
      <c r="AE9" s="107"/>
      <c r="AF9" s="107"/>
      <c r="AG9" s="107"/>
      <c r="AH9" s="107"/>
      <c r="AI9" s="107"/>
      <c r="AJ9" s="107"/>
      <c r="AK9" s="107"/>
      <c r="AL9" s="107"/>
      <c r="AM9" s="107"/>
      <c r="AN9" s="107"/>
      <c r="AO9" s="107"/>
      <c r="AP9" s="107"/>
      <c r="AQ9" s="107"/>
      <c r="AR9" s="107"/>
      <c r="AS9" s="107"/>
      <c r="AT9" s="107"/>
      <c r="AU9" s="107"/>
      <c r="AV9" s="107"/>
      <c r="AW9" s="107"/>
      <c r="AX9" s="107"/>
      <c r="AY9" s="107"/>
      <c r="AZ9" s="107"/>
      <c r="BA9" s="107"/>
      <c r="BB9" s="107"/>
      <c r="BC9" s="107"/>
      <c r="BD9" s="107"/>
      <c r="BE9" s="107"/>
      <c r="BF9" s="107"/>
      <c r="BG9" s="107"/>
      <c r="BH9" s="107"/>
      <c r="BI9" s="107"/>
      <c r="BJ9" s="107"/>
      <c r="BK9" s="107"/>
      <c r="BL9" s="107"/>
      <c r="BM9" s="107"/>
    </row>
    <row r="10" s="38" customFormat="1" ht="17.5" customHeight="1" spans="1:66">
      <c r="A10" s="98" t="s">
        <v>20</v>
      </c>
      <c r="B10" s="114" t="s">
        <v>21</v>
      </c>
      <c r="C10" s="100"/>
      <c r="D10" s="115"/>
      <c r="E10" s="116"/>
      <c r="F10" s="117"/>
      <c r="G10" s="118"/>
      <c r="H10" s="105"/>
      <c r="I10" s="119"/>
      <c r="J10" s="107"/>
      <c r="K10" s="107"/>
      <c r="L10" s="107"/>
      <c r="M10" s="107"/>
      <c r="N10" s="107"/>
      <c r="O10" s="107"/>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c r="AN10" s="107"/>
      <c r="AO10" s="107"/>
      <c r="AP10" s="107"/>
      <c r="AQ10" s="107"/>
      <c r="AR10" s="107"/>
      <c r="AS10" s="107"/>
      <c r="AT10" s="107"/>
      <c r="AU10" s="107"/>
      <c r="AV10" s="107"/>
      <c r="AW10" s="107"/>
      <c r="AX10" s="107"/>
      <c r="AY10" s="107"/>
      <c r="AZ10" s="107"/>
      <c r="BA10" s="107"/>
      <c r="BB10" s="107"/>
      <c r="BC10" s="107"/>
      <c r="BD10" s="107"/>
      <c r="BE10" s="107"/>
      <c r="BF10" s="107"/>
      <c r="BG10" s="107"/>
      <c r="BH10" s="107"/>
      <c r="BI10" s="107"/>
      <c r="BJ10" s="107"/>
      <c r="BK10" s="107"/>
      <c r="BL10" s="107"/>
      <c r="BM10" s="107"/>
    </row>
    <row r="11" s="38" customFormat="1" ht="17.5" customHeight="1" spans="1:66">
      <c r="A11" s="98" t="s">
        <v>22</v>
      </c>
      <c r="B11" s="99" t="s">
        <v>23</v>
      </c>
      <c r="C11" s="100" t="s">
        <v>24</v>
      </c>
      <c r="D11" s="101">
        <v>46209</v>
      </c>
      <c r="E11" s="102">
        <v>46211</v>
      </c>
      <c r="F11" s="103">
        <v>3</v>
      </c>
      <c r="G11" s="104">
        <v>1</v>
      </c>
      <c r="H11" s="105">
        <v>3</v>
      </c>
      <c r="I11" s="106"/>
      <c r="J11" s="107"/>
      <c r="K11" s="107"/>
      <c r="L11" s="107"/>
      <c r="M11" s="107"/>
      <c r="N11" s="107"/>
      <c r="O11" s="107"/>
      <c r="P11" s="107"/>
      <c r="Q11" s="107"/>
      <c r="R11" s="107"/>
      <c r="S11" s="107"/>
      <c r="T11" s="107"/>
      <c r="U11" s="107"/>
      <c r="V11" s="107"/>
      <c r="W11" s="107"/>
      <c r="X11" s="107"/>
      <c r="Y11" s="107"/>
      <c r="Z11" s="107"/>
      <c r="AA11" s="107"/>
      <c r="AB11" s="107"/>
      <c r="AC11" s="107"/>
      <c r="AD11" s="107"/>
      <c r="AE11" s="107"/>
      <c r="AF11" s="107"/>
      <c r="AG11" s="107"/>
      <c r="AH11" s="107"/>
      <c r="AI11" s="107"/>
      <c r="AJ11" s="107"/>
      <c r="AK11" s="107"/>
      <c r="AL11" s="107"/>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7"/>
      <c r="BK11" s="107"/>
      <c r="BL11" s="107"/>
      <c r="BM11" s="107"/>
    </row>
    <row r="12" s="38" customFormat="1" ht="17.5" customHeight="1" spans="1:66">
      <c r="A12" s="98" t="s">
        <v>25</v>
      </c>
      <c r="B12" s="99" t="s">
        <v>26</v>
      </c>
      <c r="C12" s="100" t="s">
        <v>24</v>
      </c>
      <c r="D12" s="101">
        <v>46211</v>
      </c>
      <c r="E12" s="102">
        <v>46213</v>
      </c>
      <c r="F12" s="103">
        <v>3</v>
      </c>
      <c r="G12" s="104">
        <v>1</v>
      </c>
      <c r="H12" s="105">
        <v>3</v>
      </c>
      <c r="I12" s="106"/>
      <c r="J12" s="107"/>
      <c r="K12" s="107"/>
      <c r="L12" s="107"/>
      <c r="M12" s="107"/>
      <c r="N12" s="107"/>
      <c r="O12" s="107"/>
      <c r="P12" s="107"/>
      <c r="Q12" s="107"/>
      <c r="R12" s="107"/>
      <c r="S12" s="107"/>
      <c r="T12" s="107"/>
      <c r="U12" s="107"/>
      <c r="V12" s="107"/>
      <c r="W12" s="107"/>
      <c r="X12" s="107"/>
      <c r="Y12" s="107"/>
      <c r="Z12" s="107"/>
      <c r="AA12" s="107"/>
      <c r="AB12" s="107"/>
      <c r="AC12" s="107"/>
      <c r="AD12" s="107"/>
      <c r="AE12" s="107"/>
      <c r="AF12" s="107"/>
      <c r="AG12" s="107"/>
      <c r="AH12" s="107"/>
      <c r="AI12" s="107"/>
      <c r="AJ12" s="107"/>
      <c r="AK12" s="107"/>
      <c r="AL12" s="107"/>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c r="BM12" s="107"/>
    </row>
    <row r="13" s="38" customFormat="1" ht="17.5" customHeight="1" spans="1:66">
      <c r="A13" s="98" t="s">
        <v>27</v>
      </c>
      <c r="B13" s="99" t="s">
        <v>28</v>
      </c>
      <c r="C13" s="100" t="s">
        <v>24</v>
      </c>
      <c r="D13" s="101">
        <v>46213</v>
      </c>
      <c r="E13" s="102">
        <v>46214</v>
      </c>
      <c r="F13" s="103">
        <v>2</v>
      </c>
      <c r="G13" s="104">
        <v>1</v>
      </c>
      <c r="H13" s="105">
        <v>1</v>
      </c>
      <c r="I13" s="106"/>
      <c r="J13" s="107"/>
      <c r="K13" s="107"/>
      <c r="L13" s="107"/>
      <c r="M13" s="107"/>
      <c r="N13" s="107"/>
      <c r="O13" s="107"/>
      <c r="P13" s="107"/>
      <c r="Q13" s="107"/>
      <c r="R13" s="107"/>
      <c r="S13" s="107"/>
      <c r="T13" s="107"/>
      <c r="U13" s="107"/>
      <c r="V13" s="107"/>
      <c r="W13" s="107"/>
      <c r="X13" s="107"/>
      <c r="Y13" s="107"/>
      <c r="Z13" s="107"/>
      <c r="AA13" s="107"/>
      <c r="AB13" s="107"/>
      <c r="AC13" s="107"/>
      <c r="AD13" s="107"/>
      <c r="AE13" s="107"/>
      <c r="AF13" s="107"/>
      <c r="AG13" s="107"/>
      <c r="AH13" s="107"/>
      <c r="AI13" s="107"/>
      <c r="AJ13" s="107"/>
      <c r="AK13" s="107"/>
      <c r="AL13" s="107"/>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7"/>
      <c r="BK13" s="107"/>
      <c r="BL13" s="107"/>
      <c r="BM13" s="107"/>
    </row>
    <row r="14" s="38" customFormat="1" ht="17.5" customHeight="1" spans="1:66">
      <c r="A14" s="98" t="s">
        <v>29</v>
      </c>
      <c r="B14" s="99" t="s">
        <v>30</v>
      </c>
      <c r="C14" s="100"/>
      <c r="D14" s="120"/>
      <c r="E14" s="121"/>
      <c r="F14" s="103"/>
      <c r="G14" s="104"/>
      <c r="H14" s="105"/>
      <c r="I14" s="106"/>
      <c r="J14" s="107"/>
      <c r="K14" s="107"/>
      <c r="L14" s="107"/>
      <c r="M14" s="107"/>
      <c r="N14" s="107"/>
      <c r="O14" s="107"/>
      <c r="P14" s="107"/>
      <c r="Q14" s="107"/>
      <c r="R14" s="107"/>
      <c r="S14" s="107"/>
      <c r="T14" s="107"/>
      <c r="U14" s="107"/>
      <c r="V14" s="107"/>
      <c r="W14" s="107"/>
      <c r="X14" s="107"/>
      <c r="Y14" s="107"/>
      <c r="Z14" s="107"/>
      <c r="AA14" s="107"/>
      <c r="AB14" s="107"/>
      <c r="AC14" s="107"/>
      <c r="AD14" s="107"/>
      <c r="AE14" s="107"/>
      <c r="AF14" s="107"/>
      <c r="AG14" s="107"/>
      <c r="AH14" s="107"/>
      <c r="AI14" s="107"/>
      <c r="AJ14" s="107"/>
      <c r="AK14" s="107"/>
      <c r="AL14" s="107"/>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7"/>
      <c r="BK14" s="107"/>
      <c r="BL14" s="107"/>
      <c r="BM14" s="107"/>
    </row>
    <row r="15" s="38" customFormat="1" ht="17.5" customHeight="1" spans="1:66">
      <c r="A15" s="98" t="s">
        <v>31</v>
      </c>
      <c r="B15" s="114" t="s">
        <v>32</v>
      </c>
      <c r="C15" s="100" t="s">
        <v>33</v>
      </c>
      <c r="D15" s="122">
        <v>46210</v>
      </c>
      <c r="E15" s="123">
        <v>46211</v>
      </c>
      <c r="F15" s="117">
        <v>2</v>
      </c>
      <c r="G15" s="118">
        <v>1</v>
      </c>
      <c r="H15" s="124">
        <v>2</v>
      </c>
      <c r="I15" s="119"/>
      <c r="K15" s="107"/>
      <c r="L15" s="107"/>
      <c r="M15" s="107"/>
      <c r="N15" s="107"/>
      <c r="O15" s="107"/>
      <c r="P15" s="107"/>
      <c r="Q15" s="107"/>
      <c r="R15" s="107"/>
      <c r="S15" s="107"/>
      <c r="T15" s="107"/>
      <c r="U15" s="107"/>
      <c r="V15" s="107"/>
      <c r="W15" s="107"/>
      <c r="X15" s="107"/>
      <c r="Y15" s="107"/>
      <c r="Z15" s="107"/>
      <c r="AA15" s="107"/>
      <c r="AB15" s="107"/>
      <c r="AC15" s="107"/>
      <c r="AD15" s="107"/>
      <c r="AE15" s="107"/>
      <c r="AF15" s="107"/>
      <c r="AG15" s="107"/>
      <c r="AH15" s="107"/>
      <c r="AI15" s="107"/>
      <c r="AJ15" s="107"/>
      <c r="AK15" s="107"/>
      <c r="AL15" s="107"/>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7"/>
      <c r="BK15" s="107"/>
      <c r="BL15" s="107"/>
      <c r="BM15" s="107"/>
    </row>
    <row r="16" s="38" customFormat="1" ht="17.5" customHeight="1" spans="1:66">
      <c r="A16" s="98" t="s">
        <v>34</v>
      </c>
      <c r="B16" s="99" t="s">
        <v>35</v>
      </c>
      <c r="C16" s="100" t="s">
        <v>36</v>
      </c>
      <c r="D16" s="101">
        <v>46211</v>
      </c>
      <c r="E16" s="102">
        <v>46212</v>
      </c>
      <c r="F16" s="103">
        <v>2</v>
      </c>
      <c r="G16" s="104">
        <v>1</v>
      </c>
      <c r="H16" s="105">
        <v>2</v>
      </c>
      <c r="I16" s="106"/>
      <c r="J16" s="107"/>
      <c r="K16" s="107"/>
      <c r="L16" s="107"/>
      <c r="M16" s="107"/>
      <c r="N16" s="107"/>
      <c r="O16" s="107"/>
      <c r="P16" s="107"/>
      <c r="Q16" s="107"/>
      <c r="R16" s="107"/>
      <c r="S16" s="107"/>
      <c r="T16" s="107"/>
      <c r="U16" s="107"/>
      <c r="V16" s="107"/>
      <c r="W16" s="107"/>
      <c r="X16" s="107"/>
      <c r="Y16" s="107"/>
      <c r="Z16" s="107"/>
      <c r="AA16" s="107"/>
      <c r="AB16" s="107"/>
      <c r="AC16" s="107"/>
      <c r="AD16" s="107"/>
      <c r="AE16" s="107"/>
      <c r="AF16" s="107"/>
      <c r="AG16" s="107"/>
      <c r="AH16" s="107"/>
      <c r="AI16" s="107"/>
      <c r="AJ16" s="107"/>
      <c r="AK16" s="107"/>
      <c r="AL16" s="107"/>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7"/>
      <c r="BK16" s="107"/>
      <c r="BL16" s="107"/>
      <c r="BM16" s="107"/>
    </row>
    <row r="17" s="38" customFormat="1" ht="17.5" customHeight="1" spans="1:65">
      <c r="A17" s="98" t="s">
        <v>37</v>
      </c>
      <c r="B17" s="99" t="s">
        <v>38</v>
      </c>
      <c r="C17" s="100" t="s">
        <v>36</v>
      </c>
      <c r="D17" s="101">
        <v>46211</v>
      </c>
      <c r="E17" s="102">
        <v>46212</v>
      </c>
      <c r="F17" s="103">
        <v>2</v>
      </c>
      <c r="G17" s="104">
        <v>1</v>
      </c>
      <c r="H17" s="105">
        <v>2</v>
      </c>
      <c r="I17" s="106"/>
      <c r="J17" s="107"/>
      <c r="K17" s="107"/>
      <c r="L17" s="107"/>
      <c r="M17" s="107"/>
      <c r="N17" s="107"/>
      <c r="O17" s="107"/>
      <c r="P17" s="107"/>
      <c r="Q17" s="107"/>
      <c r="R17" s="107"/>
      <c r="S17" s="107"/>
      <c r="T17" s="107"/>
      <c r="U17" s="107"/>
      <c r="V17" s="107"/>
      <c r="W17" s="107"/>
      <c r="X17" s="107"/>
      <c r="Y17" s="107"/>
      <c r="Z17" s="107"/>
      <c r="AA17" s="107"/>
      <c r="AB17" s="107"/>
      <c r="AC17" s="107"/>
      <c r="AD17" s="107"/>
      <c r="AE17" s="107"/>
      <c r="AF17" s="107"/>
      <c r="AG17" s="107"/>
      <c r="AH17" s="107"/>
      <c r="AI17" s="107"/>
      <c r="AJ17" s="107"/>
      <c r="AK17" s="107"/>
      <c r="AL17" s="107"/>
      <c r="AM17" s="107"/>
      <c r="AN17" s="107"/>
      <c r="AO17" s="107"/>
      <c r="AP17" s="107"/>
      <c r="AQ17" s="107"/>
      <c r="AR17" s="107"/>
      <c r="AS17" s="107"/>
      <c r="AT17" s="107"/>
      <c r="AU17" s="107"/>
      <c r="AV17" s="107"/>
      <c r="AW17" s="107"/>
      <c r="AX17" s="107"/>
      <c r="AY17" s="107"/>
      <c r="AZ17" s="107"/>
      <c r="BA17" s="107"/>
      <c r="BB17" s="107"/>
      <c r="BC17" s="107"/>
      <c r="BD17" s="107"/>
      <c r="BE17" s="107"/>
      <c r="BF17" s="107"/>
      <c r="BG17" s="107"/>
      <c r="BH17" s="107"/>
      <c r="BI17" s="107"/>
      <c r="BJ17" s="107"/>
      <c r="BK17" s="107"/>
      <c r="BL17" s="107"/>
      <c r="BM17" s="107"/>
    </row>
    <row r="18" s="38" customFormat="1" ht="17.5" customHeight="1" spans="1:65">
      <c r="A18" s="98" t="s">
        <v>39</v>
      </c>
      <c r="B18" s="99" t="s">
        <v>40</v>
      </c>
      <c r="C18" s="100" t="s">
        <v>41</v>
      </c>
      <c r="D18" s="101">
        <v>46212</v>
      </c>
      <c r="E18" s="102">
        <v>46214</v>
      </c>
      <c r="F18" s="103">
        <v>3</v>
      </c>
      <c r="G18" s="104">
        <v>1</v>
      </c>
      <c r="H18" s="105">
        <v>2</v>
      </c>
      <c r="I18" s="106"/>
      <c r="J18" s="107"/>
      <c r="K18" s="107"/>
      <c r="L18" s="107"/>
      <c r="M18" s="107"/>
      <c r="N18" s="107"/>
      <c r="O18" s="107"/>
      <c r="P18" s="107"/>
      <c r="Q18" s="107"/>
      <c r="R18" s="107"/>
      <c r="S18" s="107"/>
      <c r="T18" s="107"/>
      <c r="U18" s="107"/>
      <c r="V18" s="107"/>
      <c r="W18" s="107"/>
      <c r="X18" s="107"/>
      <c r="Y18" s="107"/>
      <c r="Z18" s="107"/>
      <c r="AA18" s="107"/>
      <c r="AB18" s="107"/>
      <c r="AC18" s="107"/>
      <c r="AD18" s="107"/>
      <c r="AE18" s="107"/>
      <c r="AF18" s="107"/>
      <c r="AG18" s="107"/>
      <c r="AH18" s="107"/>
      <c r="AI18" s="107"/>
      <c r="AJ18" s="107"/>
      <c r="AK18" s="107"/>
      <c r="AL18" s="107"/>
      <c r="AM18" s="107"/>
      <c r="AN18" s="107"/>
      <c r="AO18" s="107"/>
      <c r="AP18" s="107"/>
      <c r="AQ18" s="107"/>
      <c r="AR18" s="107"/>
      <c r="AS18" s="107"/>
      <c r="AT18" s="107"/>
      <c r="AU18" s="107"/>
      <c r="AV18" s="107"/>
      <c r="AW18" s="107"/>
      <c r="AX18" s="107"/>
      <c r="AY18" s="107"/>
      <c r="AZ18" s="107"/>
      <c r="BA18" s="107"/>
      <c r="BB18" s="107"/>
      <c r="BC18" s="107"/>
      <c r="BD18" s="107"/>
      <c r="BE18" s="107"/>
      <c r="BF18" s="107"/>
      <c r="BG18" s="107"/>
      <c r="BH18" s="107"/>
      <c r="BI18" s="107"/>
      <c r="BJ18" s="107"/>
      <c r="BK18" s="107"/>
      <c r="BL18" s="107"/>
      <c r="BM18" s="107"/>
    </row>
    <row r="19" s="38" customFormat="1" ht="17.5" customHeight="1" spans="1:65">
      <c r="A19" s="98" t="s">
        <v>42</v>
      </c>
      <c r="B19" s="99" t="s">
        <v>43</v>
      </c>
      <c r="C19" s="100"/>
      <c r="D19" s="101"/>
      <c r="E19" s="102"/>
      <c r="F19" s="103"/>
      <c r="G19" s="104"/>
      <c r="H19" s="105"/>
      <c r="I19" s="106"/>
      <c r="J19" s="107"/>
      <c r="K19" s="107"/>
      <c r="L19" s="107"/>
      <c r="M19" s="107"/>
      <c r="N19" s="107"/>
      <c r="O19" s="107"/>
      <c r="P19" s="107"/>
      <c r="Q19" s="107"/>
      <c r="R19" s="107"/>
      <c r="S19" s="107"/>
      <c r="T19" s="107"/>
      <c r="U19" s="107"/>
      <c r="V19" s="107"/>
      <c r="W19" s="107"/>
      <c r="X19" s="107"/>
      <c r="Y19" s="107"/>
      <c r="Z19" s="107"/>
      <c r="AA19" s="107"/>
      <c r="AB19" s="107"/>
      <c r="AC19" s="107"/>
      <c r="AD19" s="107"/>
      <c r="AE19" s="107"/>
      <c r="AF19" s="107"/>
      <c r="AG19" s="107"/>
      <c r="AH19" s="107"/>
      <c r="AI19" s="107"/>
      <c r="AJ19" s="107"/>
      <c r="AK19" s="107"/>
      <c r="AL19" s="107"/>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7"/>
      <c r="BK19" s="107"/>
      <c r="BL19" s="107"/>
      <c r="BM19" s="107"/>
    </row>
    <row r="20" s="38" customFormat="1" ht="17.5" customHeight="1" spans="1:65">
      <c r="A20" s="98" t="s">
        <v>44</v>
      </c>
      <c r="B20" s="114" t="s">
        <v>45</v>
      </c>
      <c r="C20" s="100" t="s">
        <v>36</v>
      </c>
      <c r="D20" s="125">
        <v>46210</v>
      </c>
      <c r="E20" s="126">
        <v>46213</v>
      </c>
      <c r="F20" s="93">
        <v>4</v>
      </c>
      <c r="G20" s="94">
        <v>1</v>
      </c>
      <c r="H20" s="127">
        <v>4</v>
      </c>
      <c r="I20" s="96"/>
      <c r="J20" s="107"/>
      <c r="K20" s="107"/>
      <c r="L20" s="107"/>
      <c r="M20" s="107"/>
      <c r="N20" s="107"/>
      <c r="O20" s="107"/>
      <c r="P20" s="107"/>
      <c r="Q20" s="107"/>
      <c r="R20" s="107"/>
      <c r="S20" s="107"/>
      <c r="T20" s="107"/>
      <c r="U20" s="107"/>
      <c r="V20" s="107"/>
      <c r="W20" s="107"/>
      <c r="X20" s="107"/>
      <c r="Y20" s="107"/>
      <c r="Z20" s="107"/>
      <c r="AA20" s="107"/>
      <c r="AB20" s="107"/>
      <c r="AC20" s="107"/>
      <c r="AD20" s="107"/>
      <c r="AE20" s="107"/>
      <c r="AF20" s="107"/>
      <c r="AG20" s="107"/>
      <c r="AH20" s="107"/>
      <c r="AI20" s="107"/>
      <c r="AJ20" s="107"/>
      <c r="AK20" s="107"/>
      <c r="AL20" s="107"/>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7"/>
      <c r="BK20" s="107"/>
      <c r="BL20" s="107"/>
      <c r="BM20" s="107"/>
    </row>
    <row r="21" s="38" customFormat="1" ht="17.5" customHeight="1" spans="1:65">
      <c r="A21" s="98" t="s">
        <v>46</v>
      </c>
      <c r="B21" s="99" t="s">
        <v>47</v>
      </c>
      <c r="C21" s="100" t="s">
        <v>36</v>
      </c>
      <c r="D21" s="101">
        <v>46213</v>
      </c>
      <c r="E21" s="102">
        <v>46214</v>
      </c>
      <c r="F21" s="103">
        <v>2</v>
      </c>
      <c r="G21" s="104">
        <v>1</v>
      </c>
      <c r="H21" s="105">
        <v>1</v>
      </c>
      <c r="I21" s="106"/>
      <c r="J21" s="107"/>
      <c r="K21" s="107"/>
      <c r="L21" s="107"/>
      <c r="M21" s="107"/>
      <c r="N21" s="107"/>
      <c r="O21" s="107"/>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7"/>
      <c r="BK21" s="107"/>
      <c r="BL21" s="107"/>
      <c r="BM21" s="107"/>
    </row>
    <row r="22" s="38" customFormat="1" ht="17.5" customHeight="1" spans="1:65">
      <c r="A22" s="98" t="s">
        <v>48</v>
      </c>
      <c r="B22" s="99" t="s">
        <v>49</v>
      </c>
      <c r="C22" s="100" t="s">
        <v>36</v>
      </c>
      <c r="D22" s="101">
        <v>46214</v>
      </c>
      <c r="E22" s="102">
        <v>46215</v>
      </c>
      <c r="F22" s="103">
        <v>2</v>
      </c>
      <c r="G22" s="104">
        <v>1</v>
      </c>
      <c r="H22" s="105">
        <v>1</v>
      </c>
      <c r="I22" s="106"/>
      <c r="J22" s="107"/>
      <c r="K22" s="107"/>
      <c r="L22" s="107"/>
      <c r="M22" s="107"/>
      <c r="N22" s="107"/>
      <c r="O22" s="107"/>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7"/>
      <c r="BK22" s="107"/>
      <c r="BL22" s="107"/>
      <c r="BM22" s="107"/>
    </row>
    <row r="23" s="38" customFormat="1" ht="17.5" customHeight="1" spans="1:65">
      <c r="A23" s="98" t="s">
        <v>50</v>
      </c>
      <c r="B23" s="99" t="s">
        <v>51</v>
      </c>
      <c r="C23" s="100"/>
      <c r="D23" s="101"/>
      <c r="E23" s="102"/>
      <c r="F23" s="103"/>
      <c r="G23" s="104"/>
      <c r="H23" s="105"/>
      <c r="I23" s="106"/>
      <c r="J23" s="107"/>
      <c r="K23" s="107"/>
      <c r="L23" s="107"/>
      <c r="M23" s="107"/>
      <c r="N23" s="107"/>
      <c r="O23" s="107"/>
      <c r="P23" s="107"/>
      <c r="Q23" s="107"/>
      <c r="R23" s="107"/>
      <c r="S23" s="107"/>
      <c r="T23" s="107"/>
      <c r="U23" s="107"/>
      <c r="V23" s="107"/>
      <c r="W23" s="107"/>
      <c r="X23" s="107"/>
      <c r="Y23" s="107"/>
      <c r="Z23" s="107"/>
      <c r="AA23" s="107"/>
      <c r="AB23" s="107"/>
      <c r="AC23" s="107"/>
      <c r="AD23" s="107"/>
      <c r="AE23" s="107"/>
      <c r="AF23" s="107"/>
      <c r="AG23" s="107"/>
      <c r="AH23" s="107"/>
      <c r="AI23" s="107"/>
      <c r="AJ23" s="107"/>
      <c r="AK23" s="107"/>
      <c r="AL23" s="107"/>
      <c r="AM23" s="107"/>
      <c r="AN23" s="107"/>
      <c r="AO23" s="107"/>
      <c r="AP23" s="107"/>
      <c r="AQ23" s="107"/>
      <c r="AR23" s="107"/>
      <c r="AS23" s="107"/>
      <c r="AT23" s="107"/>
      <c r="AU23" s="107"/>
      <c r="AV23" s="107"/>
      <c r="AW23" s="107"/>
      <c r="AX23" s="107"/>
      <c r="AY23" s="107"/>
      <c r="AZ23" s="107"/>
      <c r="BA23" s="107"/>
      <c r="BB23" s="107"/>
      <c r="BC23" s="107"/>
      <c r="BD23" s="107"/>
      <c r="BE23" s="107"/>
      <c r="BF23" s="107"/>
      <c r="BG23" s="107"/>
      <c r="BH23" s="107"/>
      <c r="BI23" s="107"/>
      <c r="BJ23" s="107"/>
      <c r="BK23" s="107"/>
      <c r="BL23" s="107"/>
      <c r="BM23" s="107"/>
    </row>
    <row r="24" s="38" customFormat="1" ht="17.5" customHeight="1" spans="1:65">
      <c r="A24" s="98" t="s">
        <v>52</v>
      </c>
      <c r="B24" s="99" t="s">
        <v>53</v>
      </c>
      <c r="C24" s="100" t="s">
        <v>41</v>
      </c>
      <c r="D24" s="101">
        <v>46214</v>
      </c>
      <c r="E24" s="102">
        <v>46216</v>
      </c>
      <c r="F24" s="103">
        <v>3</v>
      </c>
      <c r="G24" s="104">
        <v>1</v>
      </c>
      <c r="H24" s="105">
        <v>1</v>
      </c>
      <c r="I24" s="106"/>
      <c r="J24" s="107"/>
      <c r="K24" s="107"/>
      <c r="L24" s="107"/>
      <c r="M24" s="107"/>
      <c r="N24" s="107"/>
      <c r="O24" s="107"/>
      <c r="P24" s="107"/>
      <c r="Q24" s="107"/>
      <c r="R24" s="107"/>
      <c r="S24" s="107"/>
      <c r="T24" s="107"/>
      <c r="U24" s="107"/>
      <c r="V24" s="107"/>
      <c r="W24" s="107"/>
      <c r="X24" s="107"/>
      <c r="Y24" s="107"/>
      <c r="Z24" s="107"/>
      <c r="AA24" s="107"/>
      <c r="AB24" s="107"/>
      <c r="AC24" s="107"/>
      <c r="AD24" s="107"/>
      <c r="AE24" s="107"/>
      <c r="AF24" s="107"/>
      <c r="AG24" s="107"/>
      <c r="AH24" s="107"/>
      <c r="AI24" s="107"/>
      <c r="AJ24" s="107"/>
      <c r="AK24" s="107"/>
      <c r="AL24" s="107"/>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7"/>
      <c r="BK24" s="107"/>
      <c r="BL24" s="107"/>
      <c r="BM24" s="107"/>
    </row>
    <row r="25" s="39" customFormat="1" ht="17.5" customHeight="1" spans="1:65">
      <c r="A25" s="128" t="s">
        <v>54</v>
      </c>
      <c r="B25" s="129" t="s">
        <v>55</v>
      </c>
      <c r="C25" s="130" t="s">
        <v>36</v>
      </c>
      <c r="D25" s="131">
        <v>46214</v>
      </c>
      <c r="E25" s="131">
        <v>46216</v>
      </c>
      <c r="F25" s="117">
        <v>3</v>
      </c>
      <c r="G25" s="118">
        <v>1</v>
      </c>
      <c r="H25" s="132">
        <v>1</v>
      </c>
      <c r="I25" s="119"/>
      <c r="J25" s="107"/>
      <c r="K25" s="107"/>
      <c r="L25" s="107"/>
      <c r="M25" s="107"/>
      <c r="N25" s="107"/>
      <c r="O25" s="107"/>
      <c r="P25" s="107"/>
      <c r="Q25" s="107"/>
      <c r="R25" s="107"/>
      <c r="S25" s="107"/>
      <c r="T25" s="107"/>
      <c r="U25" s="107"/>
      <c r="V25" s="107"/>
      <c r="W25" s="107"/>
      <c r="X25" s="107"/>
      <c r="Y25" s="107"/>
      <c r="Z25" s="107"/>
      <c r="AA25" s="107"/>
      <c r="AB25" s="107"/>
      <c r="AC25" s="107"/>
      <c r="AD25" s="107"/>
      <c r="AE25" s="107"/>
      <c r="AF25" s="107"/>
      <c r="AG25" s="107"/>
      <c r="AH25" s="107"/>
      <c r="AI25" s="107"/>
      <c r="AJ25" s="107"/>
      <c r="AK25" s="107"/>
      <c r="AL25" s="107"/>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7"/>
      <c r="BK25" s="107"/>
      <c r="BL25" s="107"/>
      <c r="BM25" s="107"/>
    </row>
    <row r="26" s="40" customFormat="1" ht="17.5" customHeight="1" spans="1:65">
      <c r="A26" s="128" t="s">
        <v>56</v>
      </c>
      <c r="B26" s="129" t="s">
        <v>57</v>
      </c>
      <c r="C26" s="130" t="s">
        <v>41</v>
      </c>
      <c r="D26" s="131">
        <v>46215</v>
      </c>
      <c r="E26" s="131">
        <v>46216</v>
      </c>
      <c r="F26" s="117">
        <v>2</v>
      </c>
      <c r="G26" s="118">
        <v>1</v>
      </c>
      <c r="H26" s="132">
        <v>1</v>
      </c>
      <c r="I26" s="133"/>
      <c r="J26" s="134"/>
      <c r="K26" s="134"/>
      <c r="L26" s="134"/>
      <c r="M26" s="134"/>
      <c r="N26" s="134"/>
      <c r="O26" s="134"/>
      <c r="P26" s="134"/>
      <c r="Q26" s="134"/>
      <c r="R26" s="134"/>
      <c r="S26" s="134"/>
      <c r="T26" s="134"/>
      <c r="U26" s="134"/>
      <c r="V26" s="134"/>
      <c r="W26" s="134"/>
      <c r="X26" s="134"/>
      <c r="Y26" s="134"/>
      <c r="Z26" s="134"/>
      <c r="AA26" s="134"/>
      <c r="AB26" s="134"/>
      <c r="AC26" s="134"/>
      <c r="AD26" s="134"/>
      <c r="AE26" s="134"/>
      <c r="AF26" s="134"/>
      <c r="AG26" s="134"/>
      <c r="AH26" s="134"/>
      <c r="AI26" s="134"/>
      <c r="AJ26" s="134"/>
      <c r="AK26" s="134"/>
      <c r="AL26" s="134"/>
      <c r="AM26" s="134"/>
      <c r="AN26" s="134"/>
      <c r="AO26" s="134"/>
      <c r="AP26" s="134"/>
      <c r="AQ26" s="134"/>
      <c r="AR26" s="134"/>
      <c r="AS26" s="134"/>
      <c r="AT26" s="134"/>
      <c r="AU26" s="134"/>
      <c r="AV26" s="134"/>
      <c r="AW26" s="134"/>
      <c r="AX26" s="134"/>
      <c r="AY26" s="134"/>
      <c r="AZ26" s="134"/>
      <c r="BA26" s="134"/>
      <c r="BB26" s="134"/>
      <c r="BC26" s="134"/>
      <c r="BD26" s="134"/>
      <c r="BE26" s="134"/>
      <c r="BF26" s="134"/>
      <c r="BG26" s="134"/>
      <c r="BH26" s="134"/>
      <c r="BI26" s="134"/>
      <c r="BJ26" s="134"/>
      <c r="BK26" s="134"/>
      <c r="BL26" s="134"/>
      <c r="BM26" s="134"/>
    </row>
    <row r="27" s="39" customFormat="1" ht="17.5" customHeight="1" spans="1:65">
      <c r="A27" s="135" t="s">
        <v>58</v>
      </c>
      <c r="B27" s="129" t="s">
        <v>59</v>
      </c>
      <c r="C27" s="136"/>
      <c r="D27" s="137"/>
      <c r="E27" s="137"/>
      <c r="F27" s="138"/>
      <c r="G27" s="139"/>
      <c r="H27" s="140"/>
      <c r="I27" s="119"/>
      <c r="J27" s="107"/>
      <c r="K27" s="107"/>
      <c r="L27" s="107"/>
      <c r="M27" s="107"/>
      <c r="N27" s="107"/>
      <c r="O27" s="107"/>
      <c r="P27" s="107"/>
      <c r="Q27" s="107"/>
      <c r="R27" s="107"/>
      <c r="S27" s="107"/>
      <c r="T27" s="107"/>
      <c r="U27" s="107"/>
      <c r="V27" s="107"/>
      <c r="W27" s="107"/>
      <c r="X27" s="107"/>
      <c r="Y27" s="107"/>
      <c r="Z27" s="107"/>
      <c r="AA27" s="107"/>
      <c r="AB27" s="107"/>
      <c r="AC27" s="107"/>
      <c r="AD27" s="107"/>
      <c r="AE27" s="107"/>
      <c r="AF27" s="107"/>
      <c r="AG27" s="107"/>
      <c r="AH27" s="107"/>
      <c r="AI27" s="107"/>
      <c r="AJ27" s="107"/>
      <c r="AK27" s="107"/>
      <c r="AL27" s="107"/>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7"/>
      <c r="BK27" s="107"/>
      <c r="BL27" s="107"/>
      <c r="BM27" s="107"/>
    </row>
    <row r="28" s="41" customFormat="1" ht="27" customHeight="1" spans="1:65">
      <c r="A28" s="141" t="s">
        <v>60</v>
      </c>
      <c r="B28" s="142" t="s">
        <v>61</v>
      </c>
      <c r="C28" s="142" t="s">
        <v>62</v>
      </c>
      <c r="D28" s="143">
        <v>46216</v>
      </c>
      <c r="E28" s="143">
        <v>46217</v>
      </c>
      <c r="F28" s="142">
        <v>2</v>
      </c>
      <c r="G28" s="144">
        <v>1</v>
      </c>
      <c r="H28" s="142">
        <v>2</v>
      </c>
      <c r="I28" s="142"/>
      <c r="J28" s="107"/>
      <c r="K28" s="107"/>
      <c r="L28" s="107"/>
      <c r="M28" s="107"/>
      <c r="N28" s="107"/>
      <c r="O28" s="107"/>
      <c r="P28" s="107"/>
      <c r="Q28" s="107"/>
      <c r="R28" s="107"/>
      <c r="S28" s="107"/>
      <c r="T28" s="107"/>
      <c r="U28" s="107"/>
      <c r="V28" s="107"/>
      <c r="W28" s="107"/>
      <c r="X28" s="107"/>
      <c r="Y28" s="107"/>
      <c r="Z28" s="107"/>
      <c r="AA28" s="107"/>
      <c r="AB28" s="107"/>
      <c r="AC28" s="107"/>
      <c r="AD28" s="107"/>
      <c r="AE28" s="107"/>
      <c r="AF28" s="107"/>
      <c r="AG28" s="107"/>
      <c r="AH28" s="107"/>
      <c r="AI28" s="107"/>
      <c r="AJ28" s="107"/>
      <c r="AK28" s="107"/>
      <c r="AL28" s="107"/>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7"/>
      <c r="BK28" s="107"/>
      <c r="BL28" s="107"/>
      <c r="BM28" s="107"/>
    </row>
    <row r="29" s="39" customFormat="1" ht="17.5" customHeight="1" spans="1:65">
      <c r="A29" s="145" t="s">
        <v>63</v>
      </c>
      <c r="B29" s="146" t="s">
        <v>64</v>
      </c>
      <c r="C29" s="146" t="s">
        <v>17</v>
      </c>
      <c r="D29" s="147">
        <v>46216</v>
      </c>
      <c r="E29" s="147">
        <v>46217</v>
      </c>
      <c r="F29" s="146">
        <v>2</v>
      </c>
      <c r="G29" s="148">
        <v>0.8</v>
      </c>
      <c r="H29" s="149">
        <v>2</v>
      </c>
      <c r="I29" s="150"/>
      <c r="J29" s="107"/>
      <c r="K29" s="107"/>
      <c r="L29" s="107"/>
      <c r="M29" s="107"/>
      <c r="N29" s="107"/>
      <c r="O29" s="107"/>
      <c r="P29" s="107"/>
      <c r="Q29" s="107"/>
      <c r="R29" s="107"/>
      <c r="S29" s="107"/>
      <c r="T29" s="107"/>
      <c r="U29" s="107"/>
      <c r="V29" s="107"/>
      <c r="W29" s="107"/>
      <c r="X29" s="107"/>
      <c r="Y29" s="107"/>
      <c r="Z29" s="107"/>
      <c r="AA29" s="107"/>
      <c r="AB29" s="107"/>
      <c r="AC29" s="107"/>
      <c r="AD29" s="107"/>
      <c r="AE29" s="107"/>
      <c r="AF29" s="107"/>
      <c r="AG29" s="107"/>
      <c r="AH29" s="107"/>
      <c r="AI29" s="107"/>
      <c r="AJ29" s="107"/>
      <c r="AK29" s="107"/>
      <c r="AL29" s="107"/>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7"/>
      <c r="BK29" s="107"/>
      <c r="BL29" s="107"/>
      <c r="BM29" s="107"/>
    </row>
    <row r="30" s="39" customFormat="1" ht="17.5" customHeight="1" spans="1:65">
      <c r="A30" s="145" t="s">
        <v>65</v>
      </c>
      <c r="B30" s="146" t="s">
        <v>66</v>
      </c>
      <c r="C30" s="146" t="s">
        <v>33</v>
      </c>
      <c r="D30" s="147">
        <v>46215</v>
      </c>
      <c r="E30" s="147">
        <v>46217</v>
      </c>
      <c r="F30" s="151">
        <v>3</v>
      </c>
      <c r="G30" s="152">
        <v>1</v>
      </c>
      <c r="H30" s="149">
        <v>2</v>
      </c>
      <c r="I30" s="153"/>
      <c r="J30" s="107"/>
      <c r="K30" s="107"/>
      <c r="L30" s="107"/>
      <c r="M30" s="107"/>
      <c r="N30" s="107"/>
      <c r="O30" s="107"/>
      <c r="P30" s="107"/>
      <c r="Q30" s="107"/>
      <c r="R30" s="107"/>
      <c r="S30" s="107"/>
      <c r="T30" s="107"/>
      <c r="U30" s="107"/>
      <c r="V30" s="107"/>
      <c r="W30" s="107"/>
      <c r="X30" s="107"/>
      <c r="Y30" s="107"/>
      <c r="Z30" s="107"/>
      <c r="AA30" s="107"/>
      <c r="AB30" s="107"/>
      <c r="AC30" s="107"/>
      <c r="AD30" s="107"/>
      <c r="AE30" s="107"/>
      <c r="AF30" s="107"/>
      <c r="AG30" s="107"/>
      <c r="AH30" s="107"/>
      <c r="AI30" s="107"/>
      <c r="AJ30" s="107"/>
      <c r="AK30" s="107"/>
      <c r="AL30" s="107"/>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7"/>
      <c r="BK30" s="107"/>
      <c r="BL30" s="107"/>
      <c r="BM30" s="107"/>
    </row>
    <row r="31" s="39" customFormat="1" ht="17.5" customHeight="1" spans="1:65">
      <c r="A31" s="154"/>
      <c r="B31" s="155"/>
      <c r="C31" s="156"/>
      <c r="D31" s="157"/>
      <c r="E31" s="158"/>
      <c r="F31" s="159"/>
      <c r="G31" s="160"/>
      <c r="H31" s="161"/>
      <c r="I31" s="162"/>
      <c r="J31" s="107"/>
      <c r="K31" s="107"/>
      <c r="L31" s="107"/>
      <c r="M31" s="107"/>
      <c r="N31" s="107"/>
      <c r="O31" s="107"/>
      <c r="P31" s="107"/>
      <c r="Q31" s="107"/>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7"/>
      <c r="BK31" s="107"/>
      <c r="BL31" s="107"/>
      <c r="BM31" s="107"/>
    </row>
    <row r="32" s="39" customFormat="1" ht="17.5" customHeight="1" spans="1:65">
      <c r="A32" s="154"/>
      <c r="B32" s="155"/>
      <c r="C32" s="156"/>
      <c r="D32" s="157"/>
      <c r="E32" s="158"/>
      <c r="F32" s="159"/>
      <c r="G32" s="160"/>
      <c r="H32" s="161"/>
      <c r="I32" s="162"/>
      <c r="J32" s="107"/>
      <c r="K32" s="107"/>
      <c r="L32" s="107"/>
      <c r="M32" s="107"/>
      <c r="N32" s="107"/>
      <c r="O32" s="107"/>
      <c r="P32" s="107"/>
      <c r="Q32" s="107"/>
      <c r="R32" s="107"/>
      <c r="S32" s="107"/>
      <c r="T32" s="107"/>
      <c r="U32" s="107"/>
      <c r="V32" s="107"/>
      <c r="W32" s="107"/>
      <c r="X32" s="107"/>
      <c r="Y32" s="107"/>
      <c r="Z32" s="107"/>
      <c r="AA32" s="107"/>
      <c r="AB32" s="107"/>
      <c r="AC32" s="107"/>
      <c r="AD32" s="107"/>
      <c r="AE32" s="107"/>
      <c r="AF32" s="107"/>
      <c r="AG32" s="107"/>
      <c r="AH32" s="107"/>
      <c r="AI32" s="107"/>
      <c r="AJ32" s="107"/>
      <c r="AK32" s="107"/>
      <c r="AL32" s="107"/>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7"/>
      <c r="BK32" s="107"/>
      <c r="BL32" s="107"/>
      <c r="BM32" s="107"/>
    </row>
    <row r="33" s="39" customFormat="1" ht="17.5" customHeight="1" spans="1:65">
      <c r="A33" s="154"/>
      <c r="B33" s="155"/>
      <c r="C33" s="156"/>
      <c r="D33" s="157"/>
      <c r="E33" s="158"/>
      <c r="F33" s="159"/>
      <c r="G33" s="160"/>
      <c r="H33" s="161"/>
      <c r="I33" s="162"/>
      <c r="J33" s="107"/>
      <c r="K33" s="107"/>
      <c r="L33" s="107"/>
      <c r="M33" s="107"/>
      <c r="N33" s="107"/>
      <c r="O33" s="107"/>
      <c r="P33" s="107"/>
      <c r="Q33" s="107"/>
      <c r="R33" s="107"/>
      <c r="S33" s="107"/>
      <c r="T33" s="107"/>
      <c r="U33" s="107"/>
      <c r="V33" s="107"/>
      <c r="W33" s="107"/>
      <c r="X33" s="107"/>
      <c r="Y33" s="107"/>
      <c r="Z33" s="107"/>
      <c r="AA33" s="107"/>
      <c r="AB33" s="107"/>
      <c r="AC33" s="107"/>
      <c r="AD33" s="107"/>
      <c r="AE33" s="107"/>
      <c r="AF33" s="107"/>
      <c r="AG33" s="107"/>
      <c r="AH33" s="107"/>
      <c r="AI33" s="107"/>
      <c r="AJ33" s="107"/>
      <c r="AK33" s="107"/>
      <c r="AL33" s="107"/>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7"/>
      <c r="BK33" s="107"/>
      <c r="BL33" s="107"/>
      <c r="BM33" s="107"/>
    </row>
    <row r="34" s="42" customFormat="1" ht="19.5" customHeight="1" spans="1:65">
      <c r="A34" s="163"/>
      <c r="D34" s="164"/>
      <c r="E34" s="164"/>
    </row>
    <row r="35" ht="19.5" customHeight="1"/>
    <row r="36" ht="19.5" customHeight="1"/>
  </sheetData>
  <mergeCells count="20">
    <mergeCell ref="AC1:AQ1"/>
    <mergeCell ref="C3:D3"/>
    <mergeCell ref="F3:G3"/>
    <mergeCell ref="J3:P3"/>
    <mergeCell ref="Q3:W3"/>
    <mergeCell ref="X3:AD3"/>
    <mergeCell ref="AE3:AK3"/>
    <mergeCell ref="AL3:AR3"/>
    <mergeCell ref="AS3:AY3"/>
    <mergeCell ref="AZ3:BF3"/>
    <mergeCell ref="BG3:BM3"/>
    <mergeCell ref="C4:D4"/>
    <mergeCell ref="J4:P4"/>
    <mergeCell ref="Q4:W4"/>
    <mergeCell ref="X4:AD4"/>
    <mergeCell ref="AE4:AK4"/>
    <mergeCell ref="AL4:AR4"/>
    <mergeCell ref="AS4:AY4"/>
    <mergeCell ref="AZ4:BF4"/>
    <mergeCell ref="BG4:BM4"/>
  </mergeCells>
  <conditionalFormatting sqref="K15">
    <cfRule type="expression" dxfId="0" priority="52">
      <formula>J$5=TODAY()</formula>
    </cfRule>
    <cfRule type="expression" dxfId="1" priority="55">
      <formula>AND($D15&lt;=J$5,ROUNDDOWN(($E15-$D15+1)*$G15,0)+$D15-1&gt;=J$5)</formula>
    </cfRule>
    <cfRule type="expression" dxfId="2" priority="56">
      <formula>AND(NOT(ISBLANK($D15)),$D15&lt;=J$5,$E15&gt;=J$5)</formula>
    </cfRule>
  </conditionalFormatting>
  <conditionalFormatting sqref="G7:G33">
    <cfRule type="dataBar" priority="9">
      <dataBar>
        <cfvo type="num" val="0"/>
        <cfvo type="num" val="1"/>
        <color rgb="FFE7EFF7"/>
      </dataBar>
      <extLst>
        <ext xmlns:x14="http://schemas.microsoft.com/office/spreadsheetml/2009/9/main" uri="{B025F937-C7B1-47D3-B67F-A62EFF666E3E}">
          <x14:id>{98a45887-8bda-4ece-9189-d3733d450bd1}</x14:id>
        </ext>
      </extLst>
    </cfRule>
  </conditionalFormatting>
  <conditionalFormatting sqref="J5:BM6">
    <cfRule type="expression" dxfId="3" priority="46">
      <formula>J$5=TODAY()</formula>
    </cfRule>
  </conditionalFormatting>
  <conditionalFormatting sqref="J5:BM14 J16:BM33 L15:BM15">
    <cfRule type="expression" dxfId="0" priority="3">
      <formula>J$5=TODAY()</formula>
    </cfRule>
  </conditionalFormatting>
  <conditionalFormatting sqref="J7:BM14 J16:BM33 L15:BM15">
    <cfRule type="expression" dxfId="1" priority="49">
      <formula>AND($D7&lt;=J$5,ROUNDDOWN(($E7-$D7+1)*$G7,0)+$D7-1&gt;=J$5)</formula>
    </cfRule>
    <cfRule type="expression" dxfId="2" priority="50">
      <formula>AND(NOT(ISBLANK($D7)),$D7&lt;=J$5,$E7&gt;=J$5)</formula>
    </cfRule>
  </conditionalFormatting>
  <dataValidations count="1">
    <dataValidation showInputMessage="1" showErrorMessage="1" promptTitle="Display Week" prompt="Enter the week number to display first in the Gantt Chart. The weeks are numbered starting from the week containing the Start Date." sqref="H3"/>
  </dataValidations>
  <pageMargins left="0.25" right="0.25" top="0.5" bottom="0.5" header="0.5" footer="0.25"/>
  <pageSetup paperSize="1" scale="61" fitToHeight="0" orientation="landscape"/>
  <headerFooter/>
  <extLst>
    <ext xmlns:x14="http://schemas.microsoft.com/office/spreadsheetml/2009/9/main" uri="{78C0D931-6437-407d-A8EE-F0AAD7539E65}">
      <x14:conditionalFormattings>
        <x14:conditionalFormatting xmlns:xm="http://schemas.microsoft.com/office/excel/2006/main">
          <x14:cfRule type="dataBar" id="{98a45887-8bda-4ece-9189-d3733d450bd1}">
            <x14:dataBar minLength="10" maxLength="90" negativeBarColorSameAsPositive="1" axisPosition="none">
              <x14:cfvo type="num">
                <xm:f>0</xm:f>
              </x14:cfvo>
              <x14:cfvo type="num">
                <xm:f>1</xm:f>
              </x14:cfvo>
              <x14:axisColor indexed="65"/>
            </x14:dataBar>
          </x14:cfRule>
          <xm:sqref>G7:G33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D93"/>
  <sheetViews>
    <sheetView showGridLines="0" topLeftCell="A79" workbookViewId="0">
      <selection activeCell="A3" sqref="A3"/>
    </sheetView>
  </sheetViews>
  <sheetFormatPr defaultColWidth="8.81818181818182" defaultRowHeight="12.5" outlineLevelCol="3"/>
  <cols>
    <col min="1" max="1" width="5.54545454545455" customWidth="1"/>
    <col min="2" max="2" width="90.4545454545455" customWidth="1"/>
    <col min="3" max="3" width="16.4545454545455" customWidth="1"/>
    <col min="4" max="16384" width="8.81818181818182" customWidth="1"/>
  </cols>
  <sheetData>
    <row r="1" ht="30" customHeight="1" spans="1:4">
      <c r="A1" s="1" t="s">
        <v>67</v>
      </c>
      <c r="B1" s="2"/>
    </row>
    <row r="2" ht="14" customHeight="1" spans="1:4">
      <c r="A2" s="3" t="s">
        <v>68</v>
      </c>
      <c r="B2" s="4"/>
    </row>
    <row r="3" spans="1:4">
      <c r="B3" s="4"/>
    </row>
    <row r="4" ht="17.5" customHeight="1" spans="1:4">
      <c r="A4" s="5" t="s">
        <v>69</v>
      </c>
      <c r="B4" s="6"/>
    </row>
    <row r="5" ht="56" customHeight="1" spans="1:4">
      <c r="B5" s="7" t="s">
        <v>70</v>
      </c>
    </row>
    <row r="7" ht="28" customHeight="1" spans="1:4">
      <c r="B7" s="7" t="s">
        <v>71</v>
      </c>
    </row>
    <row r="9" ht="14" customHeight="1" spans="1:4">
      <c r="B9" s="3" t="s">
        <v>72</v>
      </c>
    </row>
    <row r="11" ht="28" customHeight="1" spans="1:4">
      <c r="B11" s="8" t="s">
        <v>73</v>
      </c>
    </row>
    <row r="13" ht="17.5" customHeight="1" spans="1:4">
      <c r="A13" s="9" t="s">
        <v>74</v>
      </c>
    </row>
    <row r="15" ht="17.5" customHeight="1" spans="1:4">
      <c r="A15" s="10"/>
      <c r="B15" s="11" t="s">
        <v>75</v>
      </c>
      <c r="C15" s="12"/>
      <c r="D15" s="12"/>
    </row>
    <row r="16" ht="17.5" customHeight="1" spans="1:4">
      <c r="A16" s="10"/>
      <c r="B16" s="11" t="s">
        <v>76</v>
      </c>
      <c r="C16" s="12"/>
      <c r="D16" s="12"/>
    </row>
    <row r="17" ht="17.5" customHeight="1" spans="1:2">
      <c r="A17" s="13"/>
      <c r="B17" s="11" t="s">
        <v>77</v>
      </c>
    </row>
    <row r="18" ht="17.5" customHeight="1" spans="1:2">
      <c r="A18" s="13"/>
      <c r="B18" s="11" t="s">
        <v>78</v>
      </c>
    </row>
    <row r="19" ht="28" customHeight="1" spans="1:2">
      <c r="A19" s="13"/>
      <c r="B19" s="11" t="s">
        <v>79</v>
      </c>
    </row>
    <row r="20" ht="17.5" customHeight="1" spans="1:2">
      <c r="A20" s="13"/>
      <c r="B20" s="11" t="s">
        <v>80</v>
      </c>
    </row>
    <row r="21" ht="17.5" customHeight="1" spans="1:2">
      <c r="A21" s="13"/>
      <c r="B21" s="14" t="s">
        <v>81</v>
      </c>
    </row>
    <row r="22" ht="17.5" customHeight="1" spans="1:2">
      <c r="A22" s="13"/>
      <c r="B22" s="15"/>
    </row>
    <row r="23" ht="17.5" customHeight="1" spans="1:2">
      <c r="A23" s="9" t="s">
        <v>82</v>
      </c>
    </row>
    <row r="24" ht="42" customHeight="1" spans="1:2">
      <c r="A24" s="13"/>
      <c r="B24" s="11" t="s">
        <v>83</v>
      </c>
    </row>
    <row r="25" ht="17.5" customHeight="1" spans="1:2">
      <c r="A25" s="13"/>
      <c r="B25" s="11"/>
    </row>
    <row r="26" ht="17.5" customHeight="1" spans="1:2">
      <c r="A26" s="13"/>
      <c r="B26" s="16" t="s">
        <v>84</v>
      </c>
    </row>
    <row r="27" ht="17.5" customHeight="1" spans="1:2">
      <c r="A27" s="13"/>
      <c r="B27" s="11" t="s">
        <v>85</v>
      </c>
    </row>
    <row r="28" ht="28" customHeight="1" spans="1:2">
      <c r="A28" s="13"/>
      <c r="B28" s="11" t="s">
        <v>86</v>
      </c>
    </row>
    <row r="29" ht="17.5" customHeight="1" spans="1:2">
      <c r="A29" s="13"/>
      <c r="B29" s="11"/>
    </row>
    <row r="30" ht="17.5" customHeight="1" spans="1:2">
      <c r="A30" s="13"/>
      <c r="B30" s="16" t="s">
        <v>87</v>
      </c>
    </row>
    <row r="31" ht="17.5" customHeight="1" spans="1:2">
      <c r="A31" s="13"/>
      <c r="B31" s="11" t="s">
        <v>88</v>
      </c>
    </row>
    <row r="32" ht="17.5" customHeight="1" spans="1:2">
      <c r="A32" s="13"/>
      <c r="B32" s="11" t="s">
        <v>89</v>
      </c>
    </row>
    <row r="33" ht="17.5" customHeight="1" spans="1:2">
      <c r="A33" s="13"/>
      <c r="B33" s="15"/>
    </row>
    <row r="34" ht="28" customHeight="1" spans="1:2">
      <c r="A34" s="13"/>
      <c r="B34" s="11" t="s">
        <v>90</v>
      </c>
    </row>
    <row r="35" ht="17.5" customHeight="1" spans="1:2">
      <c r="A35" s="13"/>
      <c r="B35" s="17" t="s">
        <v>91</v>
      </c>
    </row>
    <row r="36" ht="17.5" customHeight="1" spans="1:2">
      <c r="A36" s="13"/>
      <c r="B36" s="15"/>
    </row>
    <row r="37" ht="17.5" customHeight="1" spans="1:2">
      <c r="A37" s="9" t="s">
        <v>92</v>
      </c>
    </row>
    <row r="38" ht="28" customHeight="1" spans="1:2">
      <c r="B38" s="11" t="s">
        <v>93</v>
      </c>
    </row>
    <row r="40" ht="14" customHeight="1" spans="1:2">
      <c r="B40" s="11" t="s">
        <v>94</v>
      </c>
    </row>
    <row r="42" ht="28" customHeight="1" spans="1:2">
      <c r="B42" s="11" t="s">
        <v>95</v>
      </c>
    </row>
    <row r="44" ht="28" customHeight="1" spans="1:2">
      <c r="B44" s="11" t="s">
        <v>96</v>
      </c>
    </row>
    <row r="45" spans="1:2">
      <c r="B45" s="18"/>
    </row>
    <row r="46" ht="28" customHeight="1" spans="1:2">
      <c r="B46" s="11" t="s">
        <v>97</v>
      </c>
    </row>
    <row r="48" ht="17.5" customHeight="1" spans="1:2">
      <c r="A48" s="9" t="s">
        <v>98</v>
      </c>
    </row>
    <row r="49" ht="28" customHeight="1" spans="1:2">
      <c r="B49" s="11" t="s">
        <v>99</v>
      </c>
    </row>
    <row r="51" ht="14" customHeight="1" spans="1:2">
      <c r="A51" s="19" t="s">
        <v>100</v>
      </c>
      <c r="B51" s="11" t="s">
        <v>101</v>
      </c>
    </row>
    <row r="52" ht="14" customHeight="1" spans="1:2">
      <c r="A52" s="19" t="s">
        <v>102</v>
      </c>
      <c r="B52" s="11" t="s">
        <v>103</v>
      </c>
    </row>
    <row r="53" ht="14" customHeight="1" spans="1:2">
      <c r="A53" s="19" t="s">
        <v>104</v>
      </c>
      <c r="B53" s="11" t="s">
        <v>105</v>
      </c>
    </row>
    <row r="54" ht="28" customHeight="1" spans="1:2">
      <c r="A54" s="8"/>
      <c r="B54" s="11" t="s">
        <v>106</v>
      </c>
    </row>
    <row r="55" ht="28" customHeight="1" spans="1:2">
      <c r="A55" s="8"/>
      <c r="B55" s="11" t="s">
        <v>107</v>
      </c>
    </row>
    <row r="56" ht="14" customHeight="1" spans="1:2">
      <c r="A56" s="19" t="s">
        <v>108</v>
      </c>
      <c r="B56" s="11" t="s">
        <v>109</v>
      </c>
    </row>
    <row r="57" ht="14" customHeight="1" spans="1:2">
      <c r="A57" s="8"/>
      <c r="B57" s="11" t="s">
        <v>110</v>
      </c>
    </row>
    <row r="58" ht="14" customHeight="1" spans="1:2">
      <c r="A58" s="8"/>
      <c r="B58" s="11" t="s">
        <v>111</v>
      </c>
    </row>
    <row r="59" ht="14" customHeight="1" spans="1:2">
      <c r="A59" s="19" t="s">
        <v>112</v>
      </c>
      <c r="B59" s="11" t="s">
        <v>113</v>
      </c>
    </row>
    <row r="60" ht="28" customHeight="1" spans="1:2">
      <c r="A60" s="8"/>
      <c r="B60" s="11" t="s">
        <v>114</v>
      </c>
    </row>
    <row r="61" ht="14" customHeight="1" spans="1:2">
      <c r="A61" s="19" t="s">
        <v>115</v>
      </c>
      <c r="B61" s="11" t="s">
        <v>116</v>
      </c>
    </row>
    <row r="62" ht="14" customHeight="1" spans="1:2">
      <c r="A62" s="20"/>
      <c r="B62" s="11" t="s">
        <v>117</v>
      </c>
    </row>
    <row r="63" spans="1:2">
      <c r="B63" s="21"/>
    </row>
    <row r="64" ht="17.5" customHeight="1" spans="1:2">
      <c r="A64" s="9" t="s">
        <v>118</v>
      </c>
    </row>
    <row r="65" ht="42" customHeight="1" spans="1:2">
      <c r="B65" s="11" t="s">
        <v>119</v>
      </c>
    </row>
    <row r="67" ht="17.5" customHeight="1" spans="1:2">
      <c r="A67" s="9" t="s">
        <v>120</v>
      </c>
    </row>
    <row r="68" ht="14" customHeight="1" spans="1:2">
      <c r="A68" s="22" t="s">
        <v>121</v>
      </c>
      <c r="B68" s="23" t="s">
        <v>122</v>
      </c>
    </row>
    <row r="69" ht="28" customHeight="1" spans="1:2">
      <c r="A69" s="20"/>
      <c r="B69" s="24" t="s">
        <v>123</v>
      </c>
    </row>
    <row r="70" ht="14" customHeight="1" spans="1:2">
      <c r="A70" s="20"/>
      <c r="B70" s="25"/>
    </row>
    <row r="71" ht="14" customHeight="1" spans="1:2">
      <c r="A71" s="22" t="s">
        <v>121</v>
      </c>
      <c r="B71" s="23" t="s">
        <v>124</v>
      </c>
    </row>
    <row r="72" ht="28" customHeight="1" spans="1:2">
      <c r="A72" s="20"/>
      <c r="B72" s="24" t="s">
        <v>125</v>
      </c>
    </row>
    <row r="73" ht="14" customHeight="1" spans="1:2">
      <c r="A73" s="20"/>
      <c r="B73" s="25"/>
    </row>
    <row r="74" ht="14" customHeight="1" spans="1:2">
      <c r="A74" s="22" t="s">
        <v>121</v>
      </c>
      <c r="B74" s="26" t="s">
        <v>126</v>
      </c>
    </row>
    <row r="75" ht="42" customHeight="1" spans="1:2">
      <c r="A75" s="20"/>
      <c r="B75" s="7" t="s">
        <v>127</v>
      </c>
    </row>
    <row r="76" ht="14" customHeight="1" spans="1:2">
      <c r="A76" s="20"/>
      <c r="B76" s="20"/>
    </row>
    <row r="77" ht="14" customHeight="1" spans="1:2">
      <c r="A77" s="22" t="s">
        <v>121</v>
      </c>
      <c r="B77" s="26" t="s">
        <v>128</v>
      </c>
    </row>
    <row r="78" ht="28" customHeight="1" spans="1:2">
      <c r="A78" s="20"/>
      <c r="B78" s="7" t="s">
        <v>129</v>
      </c>
    </row>
    <row r="79" ht="14" customHeight="1" spans="1:2">
      <c r="A79" s="20"/>
      <c r="B79" s="20"/>
    </row>
    <row r="80" ht="14" customHeight="1" spans="1:2">
      <c r="A80" s="22" t="s">
        <v>121</v>
      </c>
      <c r="B80" s="26" t="s">
        <v>130</v>
      </c>
    </row>
    <row r="81" ht="14" customHeight="1" spans="1:2">
      <c r="A81" s="20"/>
      <c r="B81" s="27" t="s">
        <v>131</v>
      </c>
    </row>
    <row r="82" ht="14" customHeight="1" spans="1:2">
      <c r="A82" s="20"/>
      <c r="B82" s="27" t="s">
        <v>132</v>
      </c>
    </row>
    <row r="83" ht="14" customHeight="1" spans="1:2">
      <c r="A83" s="20"/>
      <c r="B83" s="27" t="s">
        <v>133</v>
      </c>
    </row>
    <row r="84" ht="14" customHeight="1" spans="1:2">
      <c r="A84" s="20"/>
      <c r="B84" s="28"/>
    </row>
    <row r="85" ht="14" customHeight="1" spans="1:2">
      <c r="A85" s="22" t="s">
        <v>121</v>
      </c>
      <c r="B85" s="26" t="s">
        <v>134</v>
      </c>
    </row>
    <row r="86" ht="42" customHeight="1" spans="1:2">
      <c r="A86" s="20"/>
      <c r="B86" s="7" t="s">
        <v>135</v>
      </c>
    </row>
    <row r="87" ht="14" customHeight="1" spans="1:2">
      <c r="A87" s="20"/>
      <c r="B87" s="165" t="s">
        <v>136</v>
      </c>
    </row>
    <row r="88" ht="42" customHeight="1" spans="1:2">
      <c r="A88" s="20"/>
      <c r="B88" s="166" t="s">
        <v>137</v>
      </c>
    </row>
    <row r="89" ht="14" customHeight="1" spans="1:2">
      <c r="A89" s="20"/>
      <c r="B89" s="20"/>
    </row>
    <row r="90" ht="14" customHeight="1" spans="1:2">
      <c r="A90" s="22" t="s">
        <v>121</v>
      </c>
      <c r="B90" s="26" t="s">
        <v>138</v>
      </c>
    </row>
    <row r="91" ht="28" customHeight="1" spans="1:2">
      <c r="A91" s="8"/>
      <c r="B91" s="27" t="s">
        <v>139</v>
      </c>
    </row>
    <row r="93" spans="1:2">
      <c r="A93" s="30" t="s">
        <v>140</v>
      </c>
    </row>
  </sheetData>
  <mergeCells count="6">
    <mergeCell ref="A13:B13"/>
    <mergeCell ref="A23:B23"/>
    <mergeCell ref="A37:B37"/>
    <mergeCell ref="A48:B48"/>
    <mergeCell ref="A64:B64"/>
    <mergeCell ref="A67:B67"/>
  </mergeCells>
  <hyperlinks>
    <hyperlink ref="A2" r:id="rId1" display="https://www.vertex42.com/ExcelTemplates/excel-gantt-chart.html"/>
    <hyperlink ref="B9" r:id="rId2" display="Watch Demo Videos of the Pro Version on Vertex42.com"/>
    <hyperlink ref="B35" r:id="rId3" display="Help improve Excel by voting on a suggestion to fix this problem."/>
  </hyperlinks>
  <pageMargins left="0.5" right="0.5" top="0.25" bottom="0.25"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GanttChart</vt:lpstr>
      <vt:lpstr>Help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2006-2018 Vertex42 LLC. All Rights Reserved.</dc:description>
  <cp:lastModifiedBy>鲸尾</cp:lastModifiedBy>
  <dcterms:created xsi:type="dcterms:W3CDTF">2010-06-09T16:05:00Z</dcterms:created>
  <cp:lastPrinted>2018-02-09T22:40:00Z</cp:lastPrinted>
  <dcterms:modified xsi:type="dcterms:W3CDTF">2026-07-14T06:56:40Z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07CC5D043CB64859AC022133B3210B6B_12</vt:lpwstr>
  </property>
  <property fmtid="{D5CDD505-2E9C-101B-9397-08002B2CF9AE}" pid="3" name="KSOProductBuildVer">
    <vt:lpwstr>2052-12.1.0.26375</vt:lpwstr>
  </property>
  <property fmtid="{D5CDD505-2E9C-101B-9397-08002B2CF9AE}" pid="4" name="CalculationRule">
    <vt:i4>0</vt:i4>
  </property>
</Properties>
</file>